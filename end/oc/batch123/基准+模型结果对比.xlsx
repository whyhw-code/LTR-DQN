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oc\batch123\"/>
    </mc:Choice>
  </mc:AlternateContent>
  <xr:revisionPtr revIDLastSave="0" documentId="13_ncr:1_{C251B58F-0AC2-4D9F-9BE7-80513C3ACB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主板" sheetId="1" r:id="rId1"/>
    <sheet name="创业板" sheetId="2" r:id="rId2"/>
  </sheets>
  <definedNames>
    <definedName name="_xlnm._FilterDatabase" localSheetId="1" hidden="1">创业板!$A$1:$U$1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" i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" i="2"/>
  <c r="AA3" i="2" s="1"/>
  <c r="AA3" i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U164" i="2" s="1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U184" i="2" s="1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1" i="2"/>
  <c r="U231" i="2" s="1"/>
  <c r="T232" i="2"/>
  <c r="U232" i="2" s="1"/>
  <c r="T233" i="2"/>
  <c r="U233" i="2" s="1"/>
  <c r="T234" i="2"/>
  <c r="U234" i="2" s="1"/>
  <c r="T235" i="2"/>
  <c r="U235" i="2" s="1"/>
  <c r="T236" i="2"/>
  <c r="U236" i="2" s="1"/>
  <c r="T237" i="2"/>
  <c r="U237" i="2" s="1"/>
  <c r="T238" i="2"/>
  <c r="U238" i="2" s="1"/>
  <c r="T239" i="2"/>
  <c r="U239" i="2" s="1"/>
  <c r="T240" i="2"/>
  <c r="U240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5" i="2"/>
  <c r="U255" i="2" s="1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U277" i="2" s="1"/>
  <c r="T278" i="2"/>
  <c r="U278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U289" i="2" s="1"/>
  <c r="T290" i="2"/>
  <c r="U290" i="2" s="1"/>
  <c r="T291" i="2"/>
  <c r="U291" i="2" s="1"/>
  <c r="T292" i="2"/>
  <c r="U292" i="2" s="1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U301" i="2" s="1"/>
  <c r="T3" i="2"/>
  <c r="U3" i="2" s="1"/>
  <c r="U7" i="1"/>
  <c r="U8" i="1"/>
  <c r="U9" i="1"/>
  <c r="U10" i="1"/>
  <c r="U12" i="1"/>
  <c r="U13" i="1"/>
  <c r="U14" i="1"/>
  <c r="U15" i="1"/>
  <c r="U16" i="1"/>
  <c r="U18" i="1"/>
  <c r="U23" i="1"/>
  <c r="U24" i="1"/>
  <c r="U25" i="1"/>
  <c r="U26" i="1"/>
  <c r="U28" i="1"/>
  <c r="U29" i="1"/>
  <c r="U30" i="1"/>
  <c r="U31" i="1"/>
  <c r="U32" i="1"/>
  <c r="U34" i="1"/>
  <c r="U39" i="1"/>
  <c r="U40" i="1"/>
  <c r="U41" i="1"/>
  <c r="U42" i="1"/>
  <c r="U44" i="1"/>
  <c r="U45" i="1"/>
  <c r="U46" i="1"/>
  <c r="U47" i="1"/>
  <c r="U48" i="1"/>
  <c r="U50" i="1"/>
  <c r="U55" i="1"/>
  <c r="U56" i="1"/>
  <c r="U57" i="1"/>
  <c r="U58" i="1"/>
  <c r="U60" i="1"/>
  <c r="U61" i="1"/>
  <c r="U62" i="1"/>
  <c r="U63" i="1"/>
  <c r="U64" i="1"/>
  <c r="U66" i="1"/>
  <c r="U71" i="1"/>
  <c r="U72" i="1"/>
  <c r="U73" i="1"/>
  <c r="U74" i="1"/>
  <c r="U76" i="1"/>
  <c r="U77" i="1"/>
  <c r="U78" i="1"/>
  <c r="U79" i="1"/>
  <c r="U80" i="1"/>
  <c r="U82" i="1"/>
  <c r="U87" i="1"/>
  <c r="U88" i="1"/>
  <c r="U89" i="1"/>
  <c r="U90" i="1"/>
  <c r="U92" i="1"/>
  <c r="U93" i="1"/>
  <c r="U94" i="1"/>
  <c r="U95" i="1"/>
  <c r="U96" i="1"/>
  <c r="U98" i="1"/>
  <c r="U103" i="1"/>
  <c r="U104" i="1"/>
  <c r="U105" i="1"/>
  <c r="U106" i="1"/>
  <c r="U108" i="1"/>
  <c r="U109" i="1"/>
  <c r="U110" i="1"/>
  <c r="U111" i="1"/>
  <c r="U112" i="1"/>
  <c r="U113" i="1"/>
  <c r="U114" i="1"/>
  <c r="U119" i="1"/>
  <c r="U120" i="1"/>
  <c r="U121" i="1"/>
  <c r="U122" i="1"/>
  <c r="U124" i="1"/>
  <c r="U125" i="1"/>
  <c r="U126" i="1"/>
  <c r="U127" i="1"/>
  <c r="U128" i="1"/>
  <c r="U130" i="1"/>
  <c r="U135" i="1"/>
  <c r="U136" i="1"/>
  <c r="U137" i="1"/>
  <c r="U138" i="1"/>
  <c r="U140" i="1"/>
  <c r="U141" i="1"/>
  <c r="U142" i="1"/>
  <c r="U143" i="1"/>
  <c r="U144" i="1"/>
  <c r="U145" i="1"/>
  <c r="U146" i="1"/>
  <c r="U151" i="1"/>
  <c r="U152" i="1"/>
  <c r="U153" i="1"/>
  <c r="U154" i="1"/>
  <c r="U156" i="1"/>
  <c r="U157" i="1"/>
  <c r="U158" i="1"/>
  <c r="U159" i="1"/>
  <c r="U160" i="1"/>
  <c r="U161" i="1"/>
  <c r="U162" i="1"/>
  <c r="U167" i="1"/>
  <c r="U168" i="1"/>
  <c r="U169" i="1"/>
  <c r="U170" i="1"/>
  <c r="U172" i="1"/>
  <c r="U173" i="1"/>
  <c r="U174" i="1"/>
  <c r="U175" i="1"/>
  <c r="U176" i="1"/>
  <c r="U177" i="1"/>
  <c r="U178" i="1"/>
  <c r="U183" i="1"/>
  <c r="U184" i="1"/>
  <c r="U185" i="1"/>
  <c r="U186" i="1"/>
  <c r="U188" i="1"/>
  <c r="U189" i="1"/>
  <c r="U190" i="1"/>
  <c r="U191" i="1"/>
  <c r="U192" i="1"/>
  <c r="U193" i="1"/>
  <c r="U194" i="1"/>
  <c r="U199" i="1"/>
  <c r="U200" i="1"/>
  <c r="U201" i="1"/>
  <c r="U202" i="1"/>
  <c r="U204" i="1"/>
  <c r="U205" i="1"/>
  <c r="U206" i="1"/>
  <c r="U207" i="1"/>
  <c r="U208" i="1"/>
  <c r="U209" i="1"/>
  <c r="U210" i="1"/>
  <c r="U215" i="1"/>
  <c r="U216" i="1"/>
  <c r="U217" i="1"/>
  <c r="U218" i="1"/>
  <c r="U220" i="1"/>
  <c r="U221" i="1"/>
  <c r="U222" i="1"/>
  <c r="U223" i="1"/>
  <c r="U224" i="1"/>
  <c r="U225" i="1"/>
  <c r="U226" i="1"/>
  <c r="U231" i="1"/>
  <c r="U232" i="1"/>
  <c r="U233" i="1"/>
  <c r="U234" i="1"/>
  <c r="U236" i="1"/>
  <c r="U237" i="1"/>
  <c r="U238" i="1"/>
  <c r="U239" i="1"/>
  <c r="U240" i="1"/>
  <c r="U241" i="1"/>
  <c r="U242" i="1"/>
  <c r="U247" i="1"/>
  <c r="U248" i="1"/>
  <c r="U249" i="1"/>
  <c r="U250" i="1"/>
  <c r="U252" i="1"/>
  <c r="U253" i="1"/>
  <c r="U254" i="1"/>
  <c r="U255" i="1"/>
  <c r="U256" i="1"/>
  <c r="U257" i="1"/>
  <c r="U258" i="1"/>
  <c r="U263" i="1"/>
  <c r="U264" i="1"/>
  <c r="U265" i="1"/>
  <c r="U266" i="1"/>
  <c r="U268" i="1"/>
  <c r="U269" i="1"/>
  <c r="U270" i="1"/>
  <c r="U271" i="1"/>
  <c r="U272" i="1"/>
  <c r="U273" i="1"/>
  <c r="U274" i="1"/>
  <c r="U279" i="1"/>
  <c r="U280" i="1"/>
  <c r="U281" i="1"/>
  <c r="U282" i="1"/>
  <c r="U284" i="1"/>
  <c r="U285" i="1"/>
  <c r="U286" i="1"/>
  <c r="U287" i="1"/>
  <c r="U288" i="1"/>
  <c r="U289" i="1"/>
  <c r="U290" i="1"/>
  <c r="U295" i="1"/>
  <c r="U296" i="1"/>
  <c r="U297" i="1"/>
  <c r="U298" i="1"/>
  <c r="U300" i="1"/>
  <c r="U301" i="1"/>
  <c r="U3" i="1"/>
  <c r="T4" i="1"/>
  <c r="U4" i="1" s="1"/>
  <c r="T5" i="1"/>
  <c r="U5" i="1" s="1"/>
  <c r="T6" i="1"/>
  <c r="U6" i="1" s="1"/>
  <c r="T7" i="1"/>
  <c r="T8" i="1"/>
  <c r="T9" i="1"/>
  <c r="T10" i="1"/>
  <c r="T11" i="1"/>
  <c r="U11" i="1" s="1"/>
  <c r="T12" i="1"/>
  <c r="T13" i="1"/>
  <c r="T14" i="1"/>
  <c r="T15" i="1"/>
  <c r="T16" i="1"/>
  <c r="T17" i="1"/>
  <c r="U17" i="1" s="1"/>
  <c r="T18" i="1"/>
  <c r="T19" i="1"/>
  <c r="U19" i="1" s="1"/>
  <c r="T20" i="1"/>
  <c r="U20" i="1" s="1"/>
  <c r="T21" i="1"/>
  <c r="U21" i="1" s="1"/>
  <c r="T22" i="1"/>
  <c r="U22" i="1" s="1"/>
  <c r="T23" i="1"/>
  <c r="T24" i="1"/>
  <c r="T25" i="1"/>
  <c r="T26" i="1"/>
  <c r="T27" i="1"/>
  <c r="U27" i="1" s="1"/>
  <c r="T28" i="1"/>
  <c r="T29" i="1"/>
  <c r="T30" i="1"/>
  <c r="T31" i="1"/>
  <c r="T32" i="1"/>
  <c r="T33" i="1"/>
  <c r="U33" i="1" s="1"/>
  <c r="T34" i="1"/>
  <c r="T35" i="1"/>
  <c r="U35" i="1" s="1"/>
  <c r="T36" i="1"/>
  <c r="U36" i="1" s="1"/>
  <c r="T37" i="1"/>
  <c r="U37" i="1" s="1"/>
  <c r="T38" i="1"/>
  <c r="U38" i="1" s="1"/>
  <c r="T39" i="1"/>
  <c r="T40" i="1"/>
  <c r="T41" i="1"/>
  <c r="T42" i="1"/>
  <c r="T43" i="1"/>
  <c r="U43" i="1" s="1"/>
  <c r="T44" i="1"/>
  <c r="T45" i="1"/>
  <c r="T46" i="1"/>
  <c r="T47" i="1"/>
  <c r="T48" i="1"/>
  <c r="T49" i="1"/>
  <c r="U49" i="1" s="1"/>
  <c r="T50" i="1"/>
  <c r="T51" i="1"/>
  <c r="U51" i="1" s="1"/>
  <c r="T52" i="1"/>
  <c r="U52" i="1" s="1"/>
  <c r="T53" i="1"/>
  <c r="U53" i="1" s="1"/>
  <c r="T54" i="1"/>
  <c r="U54" i="1" s="1"/>
  <c r="T55" i="1"/>
  <c r="T56" i="1"/>
  <c r="T57" i="1"/>
  <c r="T58" i="1"/>
  <c r="T59" i="1"/>
  <c r="U59" i="1" s="1"/>
  <c r="T60" i="1"/>
  <c r="T61" i="1"/>
  <c r="T62" i="1"/>
  <c r="T63" i="1"/>
  <c r="T64" i="1"/>
  <c r="T65" i="1"/>
  <c r="U65" i="1" s="1"/>
  <c r="T66" i="1"/>
  <c r="T67" i="1"/>
  <c r="U67" i="1" s="1"/>
  <c r="T68" i="1"/>
  <c r="U68" i="1" s="1"/>
  <c r="T69" i="1"/>
  <c r="U69" i="1" s="1"/>
  <c r="T70" i="1"/>
  <c r="U70" i="1" s="1"/>
  <c r="T71" i="1"/>
  <c r="T72" i="1"/>
  <c r="T73" i="1"/>
  <c r="T74" i="1"/>
  <c r="T75" i="1"/>
  <c r="U75" i="1" s="1"/>
  <c r="T76" i="1"/>
  <c r="T77" i="1"/>
  <c r="T78" i="1"/>
  <c r="T79" i="1"/>
  <c r="T80" i="1"/>
  <c r="T81" i="1"/>
  <c r="U81" i="1" s="1"/>
  <c r="T82" i="1"/>
  <c r="T83" i="1"/>
  <c r="U83" i="1" s="1"/>
  <c r="T84" i="1"/>
  <c r="U84" i="1" s="1"/>
  <c r="T85" i="1"/>
  <c r="U85" i="1" s="1"/>
  <c r="T86" i="1"/>
  <c r="U86" i="1" s="1"/>
  <c r="T87" i="1"/>
  <c r="T88" i="1"/>
  <c r="T89" i="1"/>
  <c r="T90" i="1"/>
  <c r="T91" i="1"/>
  <c r="U91" i="1" s="1"/>
  <c r="T92" i="1"/>
  <c r="T93" i="1"/>
  <c r="T94" i="1"/>
  <c r="T95" i="1"/>
  <c r="T96" i="1"/>
  <c r="T97" i="1"/>
  <c r="U97" i="1" s="1"/>
  <c r="T98" i="1"/>
  <c r="T99" i="1"/>
  <c r="U99" i="1" s="1"/>
  <c r="T100" i="1"/>
  <c r="U100" i="1" s="1"/>
  <c r="T101" i="1"/>
  <c r="U101" i="1" s="1"/>
  <c r="T102" i="1"/>
  <c r="U102" i="1" s="1"/>
  <c r="T103" i="1"/>
  <c r="T104" i="1"/>
  <c r="T105" i="1"/>
  <c r="T106" i="1"/>
  <c r="T107" i="1"/>
  <c r="U107" i="1" s="1"/>
  <c r="T108" i="1"/>
  <c r="T109" i="1"/>
  <c r="T110" i="1"/>
  <c r="T111" i="1"/>
  <c r="T112" i="1"/>
  <c r="T113" i="1"/>
  <c r="T114" i="1"/>
  <c r="T115" i="1"/>
  <c r="U115" i="1" s="1"/>
  <c r="T116" i="1"/>
  <c r="U116" i="1" s="1"/>
  <c r="T117" i="1"/>
  <c r="U117" i="1" s="1"/>
  <c r="T118" i="1"/>
  <c r="U118" i="1" s="1"/>
  <c r="T119" i="1"/>
  <c r="T120" i="1"/>
  <c r="T121" i="1"/>
  <c r="T122" i="1"/>
  <c r="T123" i="1"/>
  <c r="U123" i="1" s="1"/>
  <c r="T124" i="1"/>
  <c r="T125" i="1"/>
  <c r="T126" i="1"/>
  <c r="T127" i="1"/>
  <c r="T128" i="1"/>
  <c r="T129" i="1"/>
  <c r="U129" i="1" s="1"/>
  <c r="T130" i="1"/>
  <c r="T131" i="1"/>
  <c r="U131" i="1" s="1"/>
  <c r="T132" i="1"/>
  <c r="U132" i="1" s="1"/>
  <c r="T133" i="1"/>
  <c r="U133" i="1" s="1"/>
  <c r="T134" i="1"/>
  <c r="U134" i="1" s="1"/>
  <c r="T135" i="1"/>
  <c r="T136" i="1"/>
  <c r="T137" i="1"/>
  <c r="T138" i="1"/>
  <c r="T139" i="1"/>
  <c r="U139" i="1" s="1"/>
  <c r="T140" i="1"/>
  <c r="T141" i="1"/>
  <c r="T142" i="1"/>
  <c r="T143" i="1"/>
  <c r="T144" i="1"/>
  <c r="T145" i="1"/>
  <c r="T146" i="1"/>
  <c r="T147" i="1"/>
  <c r="U147" i="1" s="1"/>
  <c r="T148" i="1"/>
  <c r="U148" i="1" s="1"/>
  <c r="T149" i="1"/>
  <c r="U149" i="1" s="1"/>
  <c r="T150" i="1"/>
  <c r="U150" i="1" s="1"/>
  <c r="T151" i="1"/>
  <c r="T152" i="1"/>
  <c r="T153" i="1"/>
  <c r="T154" i="1"/>
  <c r="T155" i="1"/>
  <c r="U155" i="1" s="1"/>
  <c r="T156" i="1"/>
  <c r="T157" i="1"/>
  <c r="T158" i="1"/>
  <c r="T159" i="1"/>
  <c r="T160" i="1"/>
  <c r="T161" i="1"/>
  <c r="T162" i="1"/>
  <c r="T163" i="1"/>
  <c r="U163" i="1" s="1"/>
  <c r="T164" i="1"/>
  <c r="U164" i="1" s="1"/>
  <c r="T165" i="1"/>
  <c r="U165" i="1" s="1"/>
  <c r="T166" i="1"/>
  <c r="U166" i="1" s="1"/>
  <c r="T167" i="1"/>
  <c r="T168" i="1"/>
  <c r="T169" i="1"/>
  <c r="T170" i="1"/>
  <c r="T171" i="1"/>
  <c r="U171" i="1" s="1"/>
  <c r="T172" i="1"/>
  <c r="T173" i="1"/>
  <c r="T174" i="1"/>
  <c r="T175" i="1"/>
  <c r="T176" i="1"/>
  <c r="T177" i="1"/>
  <c r="T178" i="1"/>
  <c r="T179" i="1"/>
  <c r="U179" i="1" s="1"/>
  <c r="T180" i="1"/>
  <c r="U180" i="1" s="1"/>
  <c r="T181" i="1"/>
  <c r="U181" i="1" s="1"/>
  <c r="T182" i="1"/>
  <c r="U182" i="1" s="1"/>
  <c r="T183" i="1"/>
  <c r="T184" i="1"/>
  <c r="T185" i="1"/>
  <c r="T186" i="1"/>
  <c r="T187" i="1"/>
  <c r="U187" i="1" s="1"/>
  <c r="T188" i="1"/>
  <c r="T189" i="1"/>
  <c r="T190" i="1"/>
  <c r="T191" i="1"/>
  <c r="T192" i="1"/>
  <c r="T193" i="1"/>
  <c r="T194" i="1"/>
  <c r="T195" i="1"/>
  <c r="U195" i="1" s="1"/>
  <c r="T196" i="1"/>
  <c r="U196" i="1" s="1"/>
  <c r="T197" i="1"/>
  <c r="U197" i="1" s="1"/>
  <c r="T198" i="1"/>
  <c r="U198" i="1" s="1"/>
  <c r="T199" i="1"/>
  <c r="T200" i="1"/>
  <c r="T201" i="1"/>
  <c r="T202" i="1"/>
  <c r="T203" i="1"/>
  <c r="U203" i="1" s="1"/>
  <c r="T204" i="1"/>
  <c r="T205" i="1"/>
  <c r="T206" i="1"/>
  <c r="T207" i="1"/>
  <c r="T208" i="1"/>
  <c r="T209" i="1"/>
  <c r="T210" i="1"/>
  <c r="T211" i="1"/>
  <c r="U211" i="1" s="1"/>
  <c r="T212" i="1"/>
  <c r="U212" i="1" s="1"/>
  <c r="T213" i="1"/>
  <c r="U213" i="1" s="1"/>
  <c r="T214" i="1"/>
  <c r="U214" i="1" s="1"/>
  <c r="T215" i="1"/>
  <c r="T216" i="1"/>
  <c r="T217" i="1"/>
  <c r="T218" i="1"/>
  <c r="T219" i="1"/>
  <c r="U219" i="1" s="1"/>
  <c r="T220" i="1"/>
  <c r="T221" i="1"/>
  <c r="T222" i="1"/>
  <c r="T223" i="1"/>
  <c r="T224" i="1"/>
  <c r="T225" i="1"/>
  <c r="T226" i="1"/>
  <c r="T227" i="1"/>
  <c r="U227" i="1" s="1"/>
  <c r="T228" i="1"/>
  <c r="U228" i="1" s="1"/>
  <c r="T229" i="1"/>
  <c r="U229" i="1" s="1"/>
  <c r="T230" i="1"/>
  <c r="U230" i="1" s="1"/>
  <c r="T231" i="1"/>
  <c r="T232" i="1"/>
  <c r="T233" i="1"/>
  <c r="T234" i="1"/>
  <c r="T235" i="1"/>
  <c r="U235" i="1" s="1"/>
  <c r="T236" i="1"/>
  <c r="T237" i="1"/>
  <c r="T238" i="1"/>
  <c r="T239" i="1"/>
  <c r="T240" i="1"/>
  <c r="T241" i="1"/>
  <c r="T242" i="1"/>
  <c r="T243" i="1"/>
  <c r="U243" i="1" s="1"/>
  <c r="T244" i="1"/>
  <c r="U244" i="1" s="1"/>
  <c r="T245" i="1"/>
  <c r="U245" i="1" s="1"/>
  <c r="T246" i="1"/>
  <c r="U246" i="1" s="1"/>
  <c r="T247" i="1"/>
  <c r="T248" i="1"/>
  <c r="T249" i="1"/>
  <c r="T250" i="1"/>
  <c r="T251" i="1"/>
  <c r="U251" i="1" s="1"/>
  <c r="T252" i="1"/>
  <c r="T253" i="1"/>
  <c r="T254" i="1"/>
  <c r="T255" i="1"/>
  <c r="T256" i="1"/>
  <c r="T257" i="1"/>
  <c r="T258" i="1"/>
  <c r="T259" i="1"/>
  <c r="U259" i="1" s="1"/>
  <c r="T260" i="1"/>
  <c r="U260" i="1" s="1"/>
  <c r="T261" i="1"/>
  <c r="U261" i="1" s="1"/>
  <c r="T262" i="1"/>
  <c r="U262" i="1" s="1"/>
  <c r="T263" i="1"/>
  <c r="T264" i="1"/>
  <c r="T265" i="1"/>
  <c r="T266" i="1"/>
  <c r="T267" i="1"/>
  <c r="U267" i="1" s="1"/>
  <c r="T268" i="1"/>
  <c r="T269" i="1"/>
  <c r="T270" i="1"/>
  <c r="T271" i="1"/>
  <c r="T272" i="1"/>
  <c r="T273" i="1"/>
  <c r="T274" i="1"/>
  <c r="T275" i="1"/>
  <c r="U275" i="1" s="1"/>
  <c r="T276" i="1"/>
  <c r="U276" i="1" s="1"/>
  <c r="T277" i="1"/>
  <c r="U277" i="1" s="1"/>
  <c r="T278" i="1"/>
  <c r="U278" i="1" s="1"/>
  <c r="T279" i="1"/>
  <c r="T280" i="1"/>
  <c r="T281" i="1"/>
  <c r="T282" i="1"/>
  <c r="T283" i="1"/>
  <c r="U283" i="1" s="1"/>
  <c r="T284" i="1"/>
  <c r="T285" i="1"/>
  <c r="T286" i="1"/>
  <c r="T287" i="1"/>
  <c r="T288" i="1"/>
  <c r="T289" i="1"/>
  <c r="T290" i="1"/>
  <c r="T291" i="1"/>
  <c r="U291" i="1" s="1"/>
  <c r="T292" i="1"/>
  <c r="U292" i="1" s="1"/>
  <c r="T293" i="1"/>
  <c r="U293" i="1" s="1"/>
  <c r="T294" i="1"/>
  <c r="U294" i="1" s="1"/>
  <c r="T295" i="1"/>
  <c r="T296" i="1"/>
  <c r="T297" i="1"/>
  <c r="T298" i="1"/>
  <c r="T299" i="1"/>
  <c r="U299" i="1" s="1"/>
  <c r="T300" i="1"/>
  <c r="T301" i="1"/>
  <c r="T3" i="1"/>
  <c r="Q302" i="1"/>
  <c r="T302" i="1" s="1"/>
  <c r="U302" i="1" s="1"/>
  <c r="P302" i="1"/>
  <c r="O302" i="1"/>
  <c r="N302" i="1"/>
  <c r="M302" i="1"/>
  <c r="L302" i="1"/>
  <c r="K302" i="1"/>
  <c r="J302" i="1"/>
  <c r="I302" i="1"/>
  <c r="H302" i="1"/>
</calcChain>
</file>

<file path=xl/sharedStrings.xml><?xml version="1.0" encoding="utf-8"?>
<sst xmlns="http://schemas.openxmlformats.org/spreadsheetml/2006/main" count="54" uniqueCount="26">
  <si>
    <t>ChiNext Index</t>
  </si>
  <si>
    <t>qid_date</t>
  </si>
  <si>
    <t>qid</t>
    <phoneticPr fontId="2" type="noConversion"/>
  </si>
  <si>
    <t>LR</t>
    <phoneticPr fontId="2" type="noConversion"/>
  </si>
  <si>
    <t>LambdaMART</t>
    <phoneticPr fontId="2" type="noConversion"/>
  </si>
  <si>
    <t>LambdaRank</t>
    <phoneticPr fontId="2" type="noConversion"/>
  </si>
  <si>
    <t>LTR-DQN</t>
  </si>
  <si>
    <t>2021/Q4</t>
    <phoneticPr fontId="2" type="noConversion"/>
  </si>
  <si>
    <t>2022/Q1</t>
    <phoneticPr fontId="2" type="noConversion"/>
  </si>
  <si>
    <t>2022/Q2</t>
    <phoneticPr fontId="2" type="noConversion"/>
  </si>
  <si>
    <t>2022/Q3</t>
    <phoneticPr fontId="2" type="noConversion"/>
  </si>
  <si>
    <t>2023/Q1</t>
    <phoneticPr fontId="2" type="noConversion"/>
  </si>
  <si>
    <t>2022/Q4</t>
    <phoneticPr fontId="2" type="noConversion"/>
  </si>
  <si>
    <t>number of stocks</t>
  </si>
  <si>
    <t>qid</t>
  </si>
  <si>
    <t>MLP_R</t>
    <phoneticPr fontId="2" type="noConversion"/>
  </si>
  <si>
    <t>XGBoost_R</t>
    <phoneticPr fontId="2" type="noConversion"/>
  </si>
  <si>
    <t>SVM_C</t>
    <phoneticPr fontId="2" type="noConversion"/>
  </si>
  <si>
    <t>SVM_R</t>
    <phoneticPr fontId="2" type="noConversion"/>
  </si>
  <si>
    <t>MLP_C</t>
    <phoneticPr fontId="2" type="noConversion"/>
  </si>
  <si>
    <t>XGBoost_C</t>
    <phoneticPr fontId="2" type="noConversion"/>
  </si>
  <si>
    <t>LTR-TDQN</t>
    <phoneticPr fontId="2" type="noConversion"/>
  </si>
  <si>
    <t>LTR-TDQN</t>
    <phoneticPr fontId="2" type="noConversion"/>
  </si>
  <si>
    <t>CSI 300 Index</t>
    <phoneticPr fontId="2" type="noConversion"/>
  </si>
  <si>
    <t>Baseline portfolio</t>
    <phoneticPr fontId="2" type="noConversion"/>
  </si>
  <si>
    <t>Baseline portfolio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</si>
</sst>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主板!$C$1</c:f>
              <c:strCache>
                <c:ptCount val="1"/>
                <c:pt idx="0">
                  <c:v>CSI 300 Index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主板!$C$2:$C$301</c:f>
              <c:numCache>
                <c:formatCode>General</c:formatCode>
                <c:ptCount val="300"/>
                <c:pt idx="0">
                  <c:v>1000000</c:v>
                </c:pt>
                <c:pt idx="1">
                  <c:v>1014983</c:v>
                </c:pt>
                <c:pt idx="2">
                  <c:v>1031779.9536670002</c:v>
                </c:pt>
                <c:pt idx="3">
                  <c:v>1026973.9226428192</c:v>
                </c:pt>
                <c:pt idx="4">
                  <c:v>1032784.5410971321</c:v>
                </c:pt>
                <c:pt idx="5">
                  <c:v>1025839.0650582539</c:v>
                </c:pt>
                <c:pt idx="6">
                  <c:v>1016925.5494219627</c:v>
                </c:pt>
                <c:pt idx="7">
                  <c:v>1022766.7697778424</c:v>
                </c:pt>
                <c:pt idx="8">
                  <c:v>1006504.7781383747</c:v>
                </c:pt>
                <c:pt idx="9">
                  <c:v>991387.07637073635</c:v>
                </c:pt>
                <c:pt idx="10">
                  <c:v>998087.86161992606</c:v>
                </c:pt>
                <c:pt idx="11">
                  <c:v>998268.51552287932</c:v>
                </c:pt>
                <c:pt idx="12">
                  <c:v>1005216.4643909184</c:v>
                </c:pt>
                <c:pt idx="13">
                  <c:v>999635.50258062</c:v>
                </c:pt>
                <c:pt idx="14">
                  <c:v>999208.65822101815</c:v>
                </c:pt>
                <c:pt idx="15">
                  <c:v>1006634.7769689169</c:v>
                </c:pt>
                <c:pt idx="16">
                  <c:v>991895.63056453783</c:v>
                </c:pt>
                <c:pt idx="17">
                  <c:v>999604.64340528543</c:v>
                </c:pt>
                <c:pt idx="18">
                  <c:v>1003420.1343291632</c:v>
                </c:pt>
                <c:pt idx="19">
                  <c:v>998812.42907232384</c:v>
                </c:pt>
                <c:pt idx="20">
                  <c:v>988713.43660197349</c:v>
                </c:pt>
                <c:pt idx="21">
                  <c:v>978565.28188869078</c:v>
                </c:pt>
                <c:pt idx="22">
                  <c:v>979390.21242132294</c:v>
                </c:pt>
                <c:pt idx="23">
                  <c:v>983776.90118275827</c:v>
                </c:pt>
                <c:pt idx="24">
                  <c:v>974364.12379224156</c:v>
                </c:pt>
                <c:pt idx="25">
                  <c:v>984057.0980957268</c:v>
                </c:pt>
                <c:pt idx="26">
                  <c:v>967863.45448946359</c:v>
                </c:pt>
                <c:pt idx="27">
                  <c:v>959890.19535137934</c:v>
                </c:pt>
                <c:pt idx="28">
                  <c:v>968108.77520397794</c:v>
                </c:pt>
                <c:pt idx="29">
                  <c:v>977449.08866714593</c:v>
                </c:pt>
                <c:pt idx="30">
                  <c:v>970738.9006734459</c:v>
                </c:pt>
                <c:pt idx="31">
                  <c:v>979482.34595181164</c:v>
                </c:pt>
                <c:pt idx="32">
                  <c:v>970492.65698066598</c:v>
                </c:pt>
                <c:pt idx="33">
                  <c:v>971984.30419444514</c:v>
                </c:pt>
                <c:pt idx="34">
                  <c:v>949980.52351609129</c:v>
                </c:pt>
                <c:pt idx="35">
                  <c:v>956840.33287640102</c:v>
                </c:pt>
                <c:pt idx="36">
                  <c:v>938056.60030170437</c:v>
                </c:pt>
                <c:pt idx="37">
                  <c:v>926649.83204203565</c:v>
                </c:pt>
                <c:pt idx="38">
                  <c:v>940912.82625682675</c:v>
                </c:pt>
                <c:pt idx="39">
                  <c:v>935757.56488176552</c:v>
                </c:pt>
                <c:pt idx="40">
                  <c:v>944532.16356766189</c:v>
                </c:pt>
                <c:pt idx="41">
                  <c:v>942040.48772017041</c:v>
                </c:pt>
                <c:pt idx="42">
                  <c:v>934214.95738867891</c:v>
                </c:pt>
                <c:pt idx="43">
                  <c:v>924107.68576469086</c:v>
                </c:pt>
                <c:pt idx="44">
                  <c:v>933922.63349519763</c:v>
                </c:pt>
                <c:pt idx="45">
                  <c:v>937538.78193209099</c:v>
                </c:pt>
                <c:pt idx="46">
                  <c:v>939792.62516385561</c:v>
                </c:pt>
                <c:pt idx="47">
                  <c:v>944258.51971863431</c:v>
                </c:pt>
                <c:pt idx="48">
                  <c:v>940808.1990875823</c:v>
                </c:pt>
                <c:pt idx="49">
                  <c:v>928579.574115842</c:v>
                </c:pt>
                <c:pt idx="50">
                  <c:v>938490.30391038046</c:v>
                </c:pt>
                <c:pt idx="51">
                  <c:v>919448.33564403874</c:v>
                </c:pt>
                <c:pt idx="52">
                  <c:v>928387.21236317011</c:v>
                </c:pt>
                <c:pt idx="53">
                  <c:v>930041.59837560111</c:v>
                </c:pt>
                <c:pt idx="54">
                  <c:v>937748.85310133977</c:v>
                </c:pt>
                <c:pt idx="55">
                  <c:v>929394.44856905995</c:v>
                </c:pt>
                <c:pt idx="56">
                  <c:v>923904.5155613625</c:v>
                </c:pt>
                <c:pt idx="57">
                  <c:v>912685.54302890098</c:v>
                </c:pt>
                <c:pt idx="58">
                  <c:v>883512.46233152528</c:v>
                </c:pt>
                <c:pt idx="59">
                  <c:v>865760.92993836035</c:v>
                </c:pt>
                <c:pt idx="60">
                  <c:v>857821.90221082547</c:v>
                </c:pt>
                <c:pt idx="61">
                  <c:v>871304.289047873</c:v>
                </c:pt>
                <c:pt idx="62">
                  <c:v>874068.06625273288</c:v>
                </c:pt>
                <c:pt idx="63">
                  <c:v>847311.09460860421</c:v>
                </c:pt>
                <c:pt idx="64">
                  <c:v>808543.22278588207</c:v>
                </c:pt>
                <c:pt idx="65">
                  <c:v>843493.31213402469</c:v>
                </c:pt>
                <c:pt idx="66">
                  <c:v>860043.49441140634</c:v>
                </c:pt>
                <c:pt idx="67">
                  <c:v>865754.1832142981</c:v>
                </c:pt>
                <c:pt idx="68">
                  <c:v>864288.46138211642</c:v>
                </c:pt>
                <c:pt idx="69">
                  <c:v>863574.55911301472</c:v>
                </c:pt>
                <c:pt idx="70">
                  <c:v>867867.38824636559</c:v>
                </c:pt>
                <c:pt idx="71">
                  <c:v>862737.42411444127</c:v>
                </c:pt>
                <c:pt idx="72">
                  <c:v>847152.07254781388</c:v>
                </c:pt>
                <c:pt idx="73">
                  <c:v>841840.42905293906</c:v>
                </c:pt>
                <c:pt idx="74">
                  <c:v>838920.92644498346</c:v>
                </c:pt>
                <c:pt idx="75">
                  <c:v>863249.63331188797</c:v>
                </c:pt>
                <c:pt idx="76">
                  <c:v>856843.4577830804</c:v>
                </c:pt>
                <c:pt idx="77">
                  <c:v>867697.95070627646</c:v>
                </c:pt>
                <c:pt idx="78">
                  <c:v>865185.09744103102</c:v>
                </c:pt>
                <c:pt idx="79">
                  <c:v>854064.00819852413</c:v>
                </c:pt>
                <c:pt idx="80">
                  <c:v>858447.06468859897</c:v>
                </c:pt>
                <c:pt idx="81">
                  <c:v>831914.18281320378</c:v>
                </c:pt>
                <c:pt idx="82">
                  <c:v>848113.21578094247</c:v>
                </c:pt>
                <c:pt idx="83">
                  <c:v>839935.70815438277</c:v>
                </c:pt>
                <c:pt idx="84">
                  <c:v>850438.26424914505</c:v>
                </c:pt>
                <c:pt idx="85">
                  <c:v>849852.31228507741</c:v>
                </c:pt>
                <c:pt idx="86">
                  <c:v>845301.35315279081</c:v>
                </c:pt>
                <c:pt idx="87">
                  <c:v>838900.73130671796</c:v>
                </c:pt>
                <c:pt idx="88">
                  <c:v>825880.15305610641</c:v>
                </c:pt>
                <c:pt idx="89">
                  <c:v>810659.18183528236</c:v>
                </c:pt>
                <c:pt idx="90">
                  <c:v>814180.68532117479</c:v>
                </c:pt>
                <c:pt idx="91">
                  <c:v>773930.03478095192</c:v>
                </c:pt>
                <c:pt idx="92">
                  <c:v>767670.48865964357</c:v>
                </c:pt>
                <c:pt idx="93">
                  <c:v>790260.72812943091</c:v>
                </c:pt>
                <c:pt idx="94">
                  <c:v>795435.35537722241</c:v>
                </c:pt>
                <c:pt idx="95">
                  <c:v>814721.48100369854</c:v>
                </c:pt>
                <c:pt idx="96">
                  <c:v>813484.73379553505</c:v>
                </c:pt>
                <c:pt idx="97">
                  <c:v>792903.57003050786</c:v>
                </c:pt>
                <c:pt idx="98">
                  <c:v>786525.45371318248</c:v>
                </c:pt>
                <c:pt idx="99">
                  <c:v>795119.8173459064</c:v>
                </c:pt>
                <c:pt idx="100">
                  <c:v>806579.08415349561</c:v>
                </c:pt>
                <c:pt idx="101">
                  <c:v>802979.3217009186</c:v>
                </c:pt>
                <c:pt idx="102">
                  <c:v>809023.34705536137</c:v>
                </c:pt>
                <c:pt idx="103">
                  <c:v>802507.47301817755</c:v>
                </c:pt>
                <c:pt idx="104">
                  <c:v>812505.11111703794</c:v>
                </c:pt>
                <c:pt idx="105">
                  <c:v>809655.65569235059</c:v>
                </c:pt>
                <c:pt idx="106">
                  <c:v>811202.90765037865</c:v>
                </c:pt>
                <c:pt idx="107">
                  <c:v>827010.0075088538</c:v>
                </c:pt>
                <c:pt idx="108">
                  <c:v>822206.73338524241</c:v>
                </c:pt>
                <c:pt idx="109">
                  <c:v>802961.34037689411</c:v>
                </c:pt>
                <c:pt idx="110">
                  <c:v>807820.862408855</c:v>
                </c:pt>
                <c:pt idx="111">
                  <c:v>809808.90955124318</c:v>
                </c:pt>
                <c:pt idx="112">
                  <c:v>811469.82762473274</c:v>
                </c:pt>
                <c:pt idx="113">
                  <c:v>817078.70707327488</c:v>
                </c:pt>
                <c:pt idx="114">
                  <c:v>829740.15871808236</c:v>
                </c:pt>
                <c:pt idx="115">
                  <c:v>828035.04269191658</c:v>
                </c:pt>
                <c:pt idx="116">
                  <c:v>829317.66897304635</c:v>
                </c:pt>
                <c:pt idx="117">
                  <c:v>844820.93347682862</c:v>
                </c:pt>
                <c:pt idx="118">
                  <c:v>847452.55068460875</c:v>
                </c:pt>
                <c:pt idx="119">
                  <c:v>855688.94202471245</c:v>
                </c:pt>
                <c:pt idx="120">
                  <c:v>846725.60035700374</c:v>
                </c:pt>
                <c:pt idx="121">
                  <c:v>859551.79975121154</c:v>
                </c:pt>
                <c:pt idx="122">
                  <c:v>849471.83579552919</c:v>
                </c:pt>
                <c:pt idx="123">
                  <c:v>856141.0391783599</c:v>
                </c:pt>
                <c:pt idx="124">
                  <c:v>867463.50442149362</c:v>
                </c:pt>
                <c:pt idx="125">
                  <c:v>861740.84768282506</c:v>
                </c:pt>
                <c:pt idx="126">
                  <c:v>873686.29931340436</c:v>
                </c:pt>
                <c:pt idx="127">
                  <c:v>878009.2991224071</c:v>
                </c:pt>
                <c:pt idx="128">
                  <c:v>877008.36852140748</c:v>
                </c:pt>
                <c:pt idx="129">
                  <c:v>865854.57609055226</c:v>
                </c:pt>
                <c:pt idx="130">
                  <c:v>880692.72596101614</c:v>
                </c:pt>
                <c:pt idx="131">
                  <c:v>890996.8308547599</c:v>
                </c:pt>
                <c:pt idx="132">
                  <c:v>901016.98121455254</c:v>
                </c:pt>
                <c:pt idx="133">
                  <c:v>910379.44866635301</c:v>
                </c:pt>
                <c:pt idx="134">
                  <c:v>896344.12870626396</c:v>
                </c:pt>
                <c:pt idx="135">
                  <c:v>909234.45362118876</c:v>
                </c:pt>
                <c:pt idx="136">
                  <c:v>905511.13853360992</c:v>
                </c:pt>
                <c:pt idx="137">
                  <c:v>911438.61444645096</c:v>
                </c:pt>
                <c:pt idx="138">
                  <c:v>910107.91406935919</c:v>
                </c:pt>
                <c:pt idx="139">
                  <c:v>896801.22625775111</c:v>
                </c:pt>
                <c:pt idx="140">
                  <c:v>900740.87404470146</c:v>
                </c:pt>
                <c:pt idx="141">
                  <c:v>897747.7121202508</c:v>
                </c:pt>
                <c:pt idx="142">
                  <c:v>882699.66496969131</c:v>
                </c:pt>
                <c:pt idx="143">
                  <c:v>874374.92442936206</c:v>
                </c:pt>
                <c:pt idx="144">
                  <c:v>875950.54804318375</c:v>
                </c:pt>
                <c:pt idx="145">
                  <c:v>876060.91781223717</c:v>
                </c:pt>
                <c:pt idx="146">
                  <c:v>861138.9721991414</c:v>
                </c:pt>
                <c:pt idx="147">
                  <c:v>870055.20511729119</c:v>
                </c:pt>
                <c:pt idx="148">
                  <c:v>865329.93529829918</c:v>
                </c:pt>
                <c:pt idx="149">
                  <c:v>868247.82784012496</c:v>
                </c:pt>
                <c:pt idx="150">
                  <c:v>858557.31383360142</c:v>
                </c:pt>
                <c:pt idx="151">
                  <c:v>858984.87537589052</c:v>
                </c:pt>
                <c:pt idx="152">
                  <c:v>853784.58094036486</c:v>
                </c:pt>
                <c:pt idx="153">
                  <c:v>860526.06399147003</c:v>
                </c:pt>
                <c:pt idx="154">
                  <c:v>856268.18102684023</c:v>
                </c:pt>
                <c:pt idx="155">
                  <c:v>856383.77723127883</c:v>
                </c:pt>
                <c:pt idx="156">
                  <c:v>845107.77203647455</c:v>
                </c:pt>
                <c:pt idx="157">
                  <c:v>848859.20543654449</c:v>
                </c:pt>
                <c:pt idx="158">
                  <c:v>832297.96233847761</c:v>
                </c:pt>
                <c:pt idx="159">
                  <c:v>824168.90814031765</c:v>
                </c:pt>
                <c:pt idx="160">
                  <c:v>831159.50881916378</c:v>
                </c:pt>
                <c:pt idx="161">
                  <c:v>842367.69479559024</c:v>
                </c:pt>
                <c:pt idx="162">
                  <c:v>840563.34319333802</c:v>
                </c:pt>
                <c:pt idx="163">
                  <c:v>842215.05016271304</c:v>
                </c:pt>
                <c:pt idx="164">
                  <c:v>832767.92394503788</c:v>
                </c:pt>
                <c:pt idx="165">
                  <c:v>849736.40316334204</c:v>
                </c:pt>
                <c:pt idx="166">
                  <c:v>849238.45763108821</c:v>
                </c:pt>
                <c:pt idx="167">
                  <c:v>848115.76439010003</c:v>
                </c:pt>
                <c:pt idx="168">
                  <c:v>846512.82559540274</c:v>
                </c:pt>
                <c:pt idx="169">
                  <c:v>854426.02748906857</c:v>
                </c:pt>
                <c:pt idx="170">
                  <c:v>846943.81876634678</c:v>
                </c:pt>
                <c:pt idx="171">
                  <c:v>841049.08978773304</c:v>
                </c:pt>
                <c:pt idx="172">
                  <c:v>847179.4966031959</c:v>
                </c:pt>
                <c:pt idx="173">
                  <c:v>843050.34373675194</c:v>
                </c:pt>
                <c:pt idx="174">
                  <c:v>827099.83123325254</c:v>
                </c:pt>
                <c:pt idx="175">
                  <c:v>833938.29263788904</c:v>
                </c:pt>
                <c:pt idx="176">
                  <c:v>832163.67195115576</c:v>
                </c:pt>
                <c:pt idx="177">
                  <c:v>828498.82313988276</c:v>
                </c:pt>
                <c:pt idx="178">
                  <c:v>825704.29660943185</c:v>
                </c:pt>
                <c:pt idx="179">
                  <c:v>826307.88645025343</c:v>
                </c:pt>
                <c:pt idx="180">
                  <c:v>819184.2861611658</c:v>
                </c:pt>
                <c:pt idx="181">
                  <c:v>815094.09902036306</c:v>
                </c:pt>
                <c:pt idx="182">
                  <c:v>813422.34102327237</c:v>
                </c:pt>
                <c:pt idx="183">
                  <c:v>820874.91651172761</c:v>
                </c:pt>
                <c:pt idx="184">
                  <c:v>821409.30608237674</c:v>
                </c:pt>
                <c:pt idx="185">
                  <c:v>817892.03143373202</c:v>
                </c:pt>
                <c:pt idx="186">
                  <c:v>829243.55493800074</c:v>
                </c:pt>
                <c:pt idx="187">
                  <c:v>832740.47500917432</c:v>
                </c:pt>
                <c:pt idx="188">
                  <c:v>823458.74967472197</c:v>
                </c:pt>
                <c:pt idx="189">
                  <c:v>815700.12133528688</c:v>
                </c:pt>
                <c:pt idx="190">
                  <c:v>796558.90228803293</c:v>
                </c:pt>
                <c:pt idx="191">
                  <c:v>795597.45569297124</c:v>
                </c:pt>
                <c:pt idx="192">
                  <c:v>796564.10660163825</c:v>
                </c:pt>
                <c:pt idx="193">
                  <c:v>790657.58375118708</c:v>
                </c:pt>
                <c:pt idx="194">
                  <c:v>783679.23991699913</c:v>
                </c:pt>
                <c:pt idx="195">
                  <c:v>780968.4934261262</c:v>
                </c:pt>
                <c:pt idx="196">
                  <c:v>777037.87899871252</c:v>
                </c:pt>
                <c:pt idx="197">
                  <c:v>788289.38748661394</c:v>
                </c:pt>
                <c:pt idx="198">
                  <c:v>775399.27942243288</c:v>
                </c:pt>
                <c:pt idx="199">
                  <c:v>775069.73472867825</c:v>
                </c:pt>
                <c:pt idx="200">
                  <c:v>770549.5280357406</c:v>
                </c:pt>
                <c:pt idx="201">
                  <c:v>753536.56500623957</c:v>
                </c:pt>
                <c:pt idx="202">
                  <c:v>754891.4237501208</c:v>
                </c:pt>
                <c:pt idx="203">
                  <c:v>766345.39132268121</c:v>
                </c:pt>
                <c:pt idx="204">
                  <c:v>759927.24867035379</c:v>
                </c:pt>
                <c:pt idx="205">
                  <c:v>778099.38896780799</c:v>
                </c:pt>
                <c:pt idx="206">
                  <c:v>778885.26935066539</c:v>
                </c:pt>
                <c:pt idx="207">
                  <c:v>777223.12818587106</c:v>
                </c:pt>
                <c:pt idx="208">
                  <c:v>764709.83582207852</c:v>
                </c:pt>
                <c:pt idx="209">
                  <c:v>760322.69549396727</c:v>
                </c:pt>
                <c:pt idx="210">
                  <c:v>757873.69609178125</c:v>
                </c:pt>
                <c:pt idx="211">
                  <c:v>735685.42789130216</c:v>
                </c:pt>
                <c:pt idx="212">
                  <c:v>734475.22536242101</c:v>
                </c:pt>
                <c:pt idx="213">
                  <c:v>740425.94363830739</c:v>
                </c:pt>
                <c:pt idx="214">
                  <c:v>735198.53647622094</c:v>
                </c:pt>
                <c:pt idx="215">
                  <c:v>717001.63749989797</c:v>
                </c:pt>
                <c:pt idx="216">
                  <c:v>710384.42938741134</c:v>
                </c:pt>
                <c:pt idx="217">
                  <c:v>735776.4104314351</c:v>
                </c:pt>
                <c:pt idx="218">
                  <c:v>744598.36959250795</c:v>
                </c:pt>
                <c:pt idx="219">
                  <c:v>738531.38207706821</c:v>
                </c:pt>
                <c:pt idx="220">
                  <c:v>762668.06470611098</c:v>
                </c:pt>
                <c:pt idx="221">
                  <c:v>764300.17436458194</c:v>
                </c:pt>
                <c:pt idx="222">
                  <c:v>759030.32466233824</c:v>
                </c:pt>
                <c:pt idx="223">
                  <c:v>751921.2466415508</c:v>
                </c:pt>
                <c:pt idx="224">
                  <c:v>746123.1819086977</c:v>
                </c:pt>
                <c:pt idx="225">
                  <c:v>766911.66600303783</c:v>
                </c:pt>
                <c:pt idx="226">
                  <c:v>768028.28938873822</c:v>
                </c:pt>
                <c:pt idx="227">
                  <c:v>782582.42547265475</c:v>
                </c:pt>
                <c:pt idx="228">
                  <c:v>776176.98832016112</c:v>
                </c:pt>
                <c:pt idx="229">
                  <c:v>772981.46765924699</c:v>
                </c:pt>
                <c:pt idx="230">
                  <c:v>769508.46192505409</c:v>
                </c:pt>
                <c:pt idx="231">
                  <c:v>762929.16457559494</c:v>
                </c:pt>
                <c:pt idx="232">
                  <c:v>763006.9833503816</c:v>
                </c:pt>
                <c:pt idx="233">
                  <c:v>763795.16956418264</c:v>
                </c:pt>
                <c:pt idx="234">
                  <c:v>760398.57244513067</c:v>
                </c:pt>
                <c:pt idx="235">
                  <c:v>764225.6584602471</c:v>
                </c:pt>
                <c:pt idx="236">
                  <c:v>755604.42880715686</c:v>
                </c:pt>
                <c:pt idx="237">
                  <c:v>778905.00257828319</c:v>
                </c:pt>
                <c:pt idx="238">
                  <c:v>779826.44719633332</c:v>
                </c:pt>
                <c:pt idx="239">
                  <c:v>788260.27022276167</c:v>
                </c:pt>
                <c:pt idx="240">
                  <c:v>783426.65824575571</c:v>
                </c:pt>
                <c:pt idx="241">
                  <c:v>798781.03732071421</c:v>
                </c:pt>
                <c:pt idx="242">
                  <c:v>803083.27198772365</c:v>
                </c:pt>
                <c:pt idx="243">
                  <c:v>801095.64088955405</c:v>
                </c:pt>
                <c:pt idx="244">
                  <c:v>801232.62824414624</c:v>
                </c:pt>
                <c:pt idx="245">
                  <c:v>809125.57086497929</c:v>
                </c:pt>
                <c:pt idx="246">
                  <c:v>800046.3728343033</c:v>
                </c:pt>
                <c:pt idx="247">
                  <c:v>798463.08106246428</c:v>
                </c:pt>
                <c:pt idx="248">
                  <c:v>800313.12002128595</c:v>
                </c:pt>
                <c:pt idx="249">
                  <c:v>799713.68549439008</c:v>
                </c:pt>
                <c:pt idx="250">
                  <c:v>800153.52802141197</c:v>
                </c:pt>
                <c:pt idx="251">
                  <c:v>787795.95693464926</c:v>
                </c:pt>
                <c:pt idx="252">
                  <c:v>774791.80907352897</c:v>
                </c:pt>
                <c:pt idx="253">
                  <c:v>775087.00475278602</c:v>
                </c:pt>
                <c:pt idx="254">
                  <c:v>776185.30303852074</c:v>
                </c:pt>
                <c:pt idx="255">
                  <c:v>774592.57079668564</c:v>
                </c:pt>
                <c:pt idx="256">
                  <c:v>777670.0270804608</c:v>
                </c:pt>
                <c:pt idx="257">
                  <c:v>786634.22948261735</c:v>
                </c:pt>
                <c:pt idx="258">
                  <c:v>783265.07507774327</c:v>
                </c:pt>
                <c:pt idx="259">
                  <c:v>780305.89962409961</c:v>
                </c:pt>
                <c:pt idx="260">
                  <c:v>783314.75917305017</c:v>
                </c:pt>
                <c:pt idx="261">
                  <c:v>786592.93144018936</c:v>
                </c:pt>
                <c:pt idx="262">
                  <c:v>787602.13017122715</c:v>
                </c:pt>
                <c:pt idx="263">
                  <c:v>802890.27511998091</c:v>
                </c:pt>
                <c:pt idx="264">
                  <c:v>805367.99450900115</c:v>
                </c:pt>
                <c:pt idx="265">
                  <c:v>811875.36790463387</c:v>
                </c:pt>
                <c:pt idx="266">
                  <c:v>812743.26267292397</c:v>
                </c:pt>
                <c:pt idx="267">
                  <c:v>811224.2455149882</c:v>
                </c:pt>
                <c:pt idx="268">
                  <c:v>812797.20932704187</c:v>
                </c:pt>
                <c:pt idx="269">
                  <c:v>824215.38452366809</c:v>
                </c:pt>
                <c:pt idx="270">
                  <c:v>837065.72658377653</c:v>
                </c:pt>
                <c:pt idx="271">
                  <c:v>836906.68409572565</c:v>
                </c:pt>
                <c:pt idx="272">
                  <c:v>835491.47489291977</c:v>
                </c:pt>
                <c:pt idx="273">
                  <c:v>840675.69949463033</c:v>
                </c:pt>
                <c:pt idx="274">
                  <c:v>845823.9974783354</c:v>
                </c:pt>
                <c:pt idx="275">
                  <c:v>849818.82421842555</c:v>
                </c:pt>
                <c:pt idx="276">
                  <c:v>840806.49558758922</c:v>
                </c:pt>
                <c:pt idx="277">
                  <c:v>848696.62374218309</c:v>
                </c:pt>
                <c:pt idx="278">
                  <c:v>845693.08639075945</c:v>
                </c:pt>
                <c:pt idx="279">
                  <c:v>837686.90994189808</c:v>
                </c:pt>
                <c:pt idx="280">
                  <c:v>826599.28600190708</c:v>
                </c:pt>
                <c:pt idx="281">
                  <c:v>828073.93912813463</c:v>
                </c:pt>
                <c:pt idx="282">
                  <c:v>824401.43120810133</c:v>
                </c:pt>
                <c:pt idx="283">
                  <c:v>835454.18119630835</c:v>
                </c:pt>
                <c:pt idx="284">
                  <c:v>830476.54518474068</c:v>
                </c:pt>
                <c:pt idx="285">
                  <c:v>837999.83220756915</c:v>
                </c:pt>
                <c:pt idx="286">
                  <c:v>838333.35614078795</c:v>
                </c:pt>
                <c:pt idx="287">
                  <c:v>833951.38768823992</c:v>
                </c:pt>
                <c:pt idx="288">
                  <c:v>827830.18450260826</c:v>
                </c:pt>
                <c:pt idx="289">
                  <c:v>815889.56192134263</c:v>
                </c:pt>
                <c:pt idx="290">
                  <c:v>835893.54220053018</c:v>
                </c:pt>
                <c:pt idx="291">
                  <c:v>838076.89613275789</c:v>
                </c:pt>
                <c:pt idx="292">
                  <c:v>830499.8429148217</c:v>
                </c:pt>
                <c:pt idx="293">
                  <c:v>829818.00254378864</c:v>
                </c:pt>
                <c:pt idx="294">
                  <c:v>821190.38477134088</c:v>
                </c:pt>
                <c:pt idx="295">
                  <c:v>817698.68325529317</c:v>
                </c:pt>
                <c:pt idx="296">
                  <c:v>822864.90353610017</c:v>
                </c:pt>
                <c:pt idx="297">
                  <c:v>834474.70446009096</c:v>
                </c:pt>
                <c:pt idx="298">
                  <c:v>832600.47427387361</c:v>
                </c:pt>
                <c:pt idx="299">
                  <c:v>835178.2053422255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B-43D2-9B4B-D97B48B71BCA}"/>
            </c:ext>
          </c:extLst>
        </c:ser>
        <c:ser>
          <c:idx val="1"/>
          <c:order val="1"/>
          <c:tx>
            <c:strRef>
              <c:f>主板!$D$1</c:f>
              <c:strCache>
                <c:ptCount val="1"/>
                <c:pt idx="0">
                  <c:v>Baseline portfolio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主板!$D$2:$D$301</c:f>
              <c:numCache>
                <c:formatCode>General</c:formatCode>
                <c:ptCount val="300"/>
                <c:pt idx="0">
                  <c:v>1000000</c:v>
                </c:pt>
                <c:pt idx="1">
                  <c:v>1008972.29339999</c:v>
                </c:pt>
                <c:pt idx="2">
                  <c:v>1018433.9465</c:v>
                </c:pt>
                <c:pt idx="3">
                  <c:v>1022339.0622</c:v>
                </c:pt>
                <c:pt idx="4">
                  <c:v>1030418.87689999</c:v>
                </c:pt>
                <c:pt idx="5">
                  <c:v>1033659.3894</c:v>
                </c:pt>
                <c:pt idx="6">
                  <c:v>1049149.5689000001</c:v>
                </c:pt>
                <c:pt idx="7">
                  <c:v>1046870.79279999</c:v>
                </c:pt>
                <c:pt idx="8">
                  <c:v>1033420.5911</c:v>
                </c:pt>
                <c:pt idx="9">
                  <c:v>1013837.3005</c:v>
                </c:pt>
                <c:pt idx="10">
                  <c:v>1019095.2769000001</c:v>
                </c:pt>
                <c:pt idx="11">
                  <c:v>1026004.5307999999</c:v>
                </c:pt>
                <c:pt idx="12">
                  <c:v>1042084.116</c:v>
                </c:pt>
                <c:pt idx="13">
                  <c:v>1031939.5791</c:v>
                </c:pt>
                <c:pt idx="14">
                  <c:v>1022750.6841</c:v>
                </c:pt>
                <c:pt idx="15">
                  <c:v>1018736.745</c:v>
                </c:pt>
                <c:pt idx="16">
                  <c:v>1007901.0024999999</c:v>
                </c:pt>
                <c:pt idx="17">
                  <c:v>1019386.5261</c:v>
                </c:pt>
                <c:pt idx="18">
                  <c:v>1021079.5575999999</c:v>
                </c:pt>
                <c:pt idx="19">
                  <c:v>1009739.2028</c:v>
                </c:pt>
                <c:pt idx="20">
                  <c:v>996402.8885</c:v>
                </c:pt>
                <c:pt idx="21">
                  <c:v>997248.33609999996</c:v>
                </c:pt>
                <c:pt idx="22">
                  <c:v>989589.78879999998</c:v>
                </c:pt>
                <c:pt idx="23">
                  <c:v>993188.40419999894</c:v>
                </c:pt>
                <c:pt idx="24">
                  <c:v>985419.90079999994</c:v>
                </c:pt>
                <c:pt idx="25">
                  <c:v>993135.21489999897</c:v>
                </c:pt>
                <c:pt idx="26">
                  <c:v>984220.56400000001</c:v>
                </c:pt>
                <c:pt idx="27">
                  <c:v>990649.01</c:v>
                </c:pt>
                <c:pt idx="28">
                  <c:v>999506.38770000101</c:v>
                </c:pt>
                <c:pt idx="29">
                  <c:v>1010784.2947</c:v>
                </c:pt>
                <c:pt idx="30">
                  <c:v>1007429.9453</c:v>
                </c:pt>
                <c:pt idx="31">
                  <c:v>995523.99130000104</c:v>
                </c:pt>
                <c:pt idx="32">
                  <c:v>979359.09440000099</c:v>
                </c:pt>
                <c:pt idx="33">
                  <c:v>987938.43680000096</c:v>
                </c:pt>
                <c:pt idx="34">
                  <c:v>970159.14599999995</c:v>
                </c:pt>
                <c:pt idx="35">
                  <c:v>975662.8469</c:v>
                </c:pt>
                <c:pt idx="36">
                  <c:v>959844.38329999999</c:v>
                </c:pt>
                <c:pt idx="37">
                  <c:v>958227.05909999995</c:v>
                </c:pt>
                <c:pt idx="38">
                  <c:v>959883.72699999996</c:v>
                </c:pt>
                <c:pt idx="39">
                  <c:v>969752.41319999995</c:v>
                </c:pt>
                <c:pt idx="40">
                  <c:v>984627.87820000004</c:v>
                </c:pt>
                <c:pt idx="41">
                  <c:v>978635.59409999999</c:v>
                </c:pt>
                <c:pt idx="42">
                  <c:v>968048.46569999994</c:v>
                </c:pt>
                <c:pt idx="43">
                  <c:v>968048.46569999994</c:v>
                </c:pt>
                <c:pt idx="44">
                  <c:v>968048.46569999994</c:v>
                </c:pt>
                <c:pt idx="45">
                  <c:v>968048.46569999994</c:v>
                </c:pt>
                <c:pt idx="46">
                  <c:v>966157.05079999997</c:v>
                </c:pt>
                <c:pt idx="47">
                  <c:v>972918.23239999998</c:v>
                </c:pt>
                <c:pt idx="48">
                  <c:v>988220.08659999899</c:v>
                </c:pt>
                <c:pt idx="49">
                  <c:v>980281.33949999895</c:v>
                </c:pt>
                <c:pt idx="50">
                  <c:v>999174.24099999899</c:v>
                </c:pt>
                <c:pt idx="51">
                  <c:v>985819.52079999901</c:v>
                </c:pt>
                <c:pt idx="52">
                  <c:v>988277.34379999898</c:v>
                </c:pt>
                <c:pt idx="53">
                  <c:v>979960.76229999994</c:v>
                </c:pt>
                <c:pt idx="54">
                  <c:v>976941.04959999898</c:v>
                </c:pt>
                <c:pt idx="55">
                  <c:v>976025.61799999897</c:v>
                </c:pt>
                <c:pt idx="56">
                  <c:v>960385.72309999901</c:v>
                </c:pt>
                <c:pt idx="57">
                  <c:v>958666.44009999896</c:v>
                </c:pt>
                <c:pt idx="58">
                  <c:v>936340.982699999</c:v>
                </c:pt>
                <c:pt idx="59">
                  <c:v>903156.31420000002</c:v>
                </c:pt>
                <c:pt idx="60">
                  <c:v>908524.351399999</c:v>
                </c:pt>
                <c:pt idx="61">
                  <c:v>916844.41929999995</c:v>
                </c:pt>
                <c:pt idx="62">
                  <c:v>918619.51110000105</c:v>
                </c:pt>
                <c:pt idx="63">
                  <c:v>902727.97870000196</c:v>
                </c:pt>
                <c:pt idx="64">
                  <c:v>864930.89090000198</c:v>
                </c:pt>
                <c:pt idx="65">
                  <c:v>884716.05020000204</c:v>
                </c:pt>
                <c:pt idx="66">
                  <c:v>892943.74370000197</c:v>
                </c:pt>
                <c:pt idx="67">
                  <c:v>898983.57080000197</c:v>
                </c:pt>
                <c:pt idx="68">
                  <c:v>898065.80940000096</c:v>
                </c:pt>
                <c:pt idx="69">
                  <c:v>899299.05430000101</c:v>
                </c:pt>
                <c:pt idx="70">
                  <c:v>901131.90070000105</c:v>
                </c:pt>
                <c:pt idx="71">
                  <c:v>891825.38600000099</c:v>
                </c:pt>
                <c:pt idx="72">
                  <c:v>874452.09550000099</c:v>
                </c:pt>
                <c:pt idx="73">
                  <c:v>872429.05600000103</c:v>
                </c:pt>
                <c:pt idx="74">
                  <c:v>872905.96</c:v>
                </c:pt>
                <c:pt idx="75">
                  <c:v>882191.37429999898</c:v>
                </c:pt>
                <c:pt idx="76">
                  <c:v>878561.375</c:v>
                </c:pt>
                <c:pt idx="77">
                  <c:v>883688.64449999796</c:v>
                </c:pt>
                <c:pt idx="78">
                  <c:v>882663.46089999797</c:v>
                </c:pt>
                <c:pt idx="79">
                  <c:v>870229.89219999802</c:v>
                </c:pt>
                <c:pt idx="80">
                  <c:v>870797.55829999701</c:v>
                </c:pt>
                <c:pt idx="81">
                  <c:v>851961.96399999701</c:v>
                </c:pt>
                <c:pt idx="82">
                  <c:v>855350.77649999596</c:v>
                </c:pt>
                <c:pt idx="83">
                  <c:v>847591.16759999702</c:v>
                </c:pt>
                <c:pt idx="84">
                  <c:v>855280.05379999697</c:v>
                </c:pt>
                <c:pt idx="85">
                  <c:v>854901.91199999698</c:v>
                </c:pt>
                <c:pt idx="86">
                  <c:v>855097.10459999705</c:v>
                </c:pt>
                <c:pt idx="87">
                  <c:v>854587.05249999801</c:v>
                </c:pt>
                <c:pt idx="88">
                  <c:v>849951.98339999805</c:v>
                </c:pt>
                <c:pt idx="89">
                  <c:v>831107.874599998</c:v>
                </c:pt>
                <c:pt idx="90">
                  <c:v>831292.63659999799</c:v>
                </c:pt>
                <c:pt idx="91">
                  <c:v>810811.16799999704</c:v>
                </c:pt>
                <c:pt idx="92">
                  <c:v>792899.416099997</c:v>
                </c:pt>
                <c:pt idx="93">
                  <c:v>806503.55619999499</c:v>
                </c:pt>
                <c:pt idx="94">
                  <c:v>805534.10689999396</c:v>
                </c:pt>
                <c:pt idx="95">
                  <c:v>816133.92639999697</c:v>
                </c:pt>
                <c:pt idx="96">
                  <c:v>819860.59889998799</c:v>
                </c:pt>
                <c:pt idx="97">
                  <c:v>812839.44009998394</c:v>
                </c:pt>
                <c:pt idx="98">
                  <c:v>814473.60349998297</c:v>
                </c:pt>
                <c:pt idx="99">
                  <c:v>821885.30979998305</c:v>
                </c:pt>
                <c:pt idx="100">
                  <c:v>835522.09809998295</c:v>
                </c:pt>
                <c:pt idx="101">
                  <c:v>836125.28239998303</c:v>
                </c:pt>
                <c:pt idx="102">
                  <c:v>840284.36669998302</c:v>
                </c:pt>
                <c:pt idx="103">
                  <c:v>837059.92249998299</c:v>
                </c:pt>
                <c:pt idx="104">
                  <c:v>837844.22679998295</c:v>
                </c:pt>
                <c:pt idx="105">
                  <c:v>841717.80069998302</c:v>
                </c:pt>
                <c:pt idx="106">
                  <c:v>846864.07779998297</c:v>
                </c:pt>
                <c:pt idx="107">
                  <c:v>857960.16699998302</c:v>
                </c:pt>
                <c:pt idx="108">
                  <c:v>860498.546399983</c:v>
                </c:pt>
                <c:pt idx="109">
                  <c:v>840429.73779998196</c:v>
                </c:pt>
                <c:pt idx="110">
                  <c:v>849671.47379998199</c:v>
                </c:pt>
                <c:pt idx="111">
                  <c:v>856927.61429998197</c:v>
                </c:pt>
                <c:pt idx="112">
                  <c:v>859134.30119998194</c:v>
                </c:pt>
                <c:pt idx="113">
                  <c:v>866381.709199982</c:v>
                </c:pt>
                <c:pt idx="114">
                  <c:v>878275.03249998204</c:v>
                </c:pt>
                <c:pt idx="115">
                  <c:v>877447.92219998199</c:v>
                </c:pt>
                <c:pt idx="116">
                  <c:v>880680.68249998195</c:v>
                </c:pt>
                <c:pt idx="117">
                  <c:v>907743.43779998203</c:v>
                </c:pt>
                <c:pt idx="118">
                  <c:v>908816.64689998201</c:v>
                </c:pt>
                <c:pt idx="119">
                  <c:v>920251.91499998304</c:v>
                </c:pt>
                <c:pt idx="120">
                  <c:v>904267.39139998297</c:v>
                </c:pt>
                <c:pt idx="121">
                  <c:v>934774.87669998303</c:v>
                </c:pt>
                <c:pt idx="122">
                  <c:v>948089.25309998298</c:v>
                </c:pt>
                <c:pt idx="123">
                  <c:v>961639.31959998305</c:v>
                </c:pt>
                <c:pt idx="124">
                  <c:v>967696.92009998299</c:v>
                </c:pt>
                <c:pt idx="125">
                  <c:v>984731.71689998196</c:v>
                </c:pt>
                <c:pt idx="126">
                  <c:v>992882.412599982</c:v>
                </c:pt>
                <c:pt idx="127">
                  <c:v>1000157.95369998</c:v>
                </c:pt>
                <c:pt idx="128">
                  <c:v>996895.32519998203</c:v>
                </c:pt>
                <c:pt idx="129">
                  <c:v>1001871.42249998</c:v>
                </c:pt>
                <c:pt idx="130">
                  <c:v>1000375.15539998</c:v>
                </c:pt>
                <c:pt idx="131">
                  <c:v>1021905.30109998</c:v>
                </c:pt>
                <c:pt idx="132">
                  <c:v>1046036.0248999801</c:v>
                </c:pt>
                <c:pt idx="133">
                  <c:v>1079677.9281999799</c:v>
                </c:pt>
                <c:pt idx="134">
                  <c:v>1052431.0316999799</c:v>
                </c:pt>
                <c:pt idx="135">
                  <c:v>1063489.10909998</c:v>
                </c:pt>
                <c:pt idx="136">
                  <c:v>1075306.4697999801</c:v>
                </c:pt>
                <c:pt idx="137">
                  <c:v>1091551.5607999801</c:v>
                </c:pt>
                <c:pt idx="138">
                  <c:v>1079827.90129998</c:v>
                </c:pt>
                <c:pt idx="139">
                  <c:v>1062658.4613999799</c:v>
                </c:pt>
                <c:pt idx="140">
                  <c:v>1089040.0205999799</c:v>
                </c:pt>
                <c:pt idx="141">
                  <c:v>1085697.6476999801</c:v>
                </c:pt>
                <c:pt idx="142">
                  <c:v>1070981.6004999799</c:v>
                </c:pt>
                <c:pt idx="143">
                  <c:v>1055772.4166999799</c:v>
                </c:pt>
                <c:pt idx="144">
                  <c:v>1056801.16759998</c:v>
                </c:pt>
                <c:pt idx="145">
                  <c:v>1059609.19719998</c:v>
                </c:pt>
                <c:pt idx="146">
                  <c:v>1059318.51959998</c:v>
                </c:pt>
                <c:pt idx="147">
                  <c:v>1071013.58589998</c:v>
                </c:pt>
                <c:pt idx="148">
                  <c:v>1075631.51999998</c:v>
                </c:pt>
                <c:pt idx="149">
                  <c:v>1083767.2545999801</c:v>
                </c:pt>
                <c:pt idx="150">
                  <c:v>1075977.94089998</c:v>
                </c:pt>
                <c:pt idx="151">
                  <c:v>1064180.8348999801</c:v>
                </c:pt>
                <c:pt idx="152">
                  <c:v>1054764.8171999799</c:v>
                </c:pt>
                <c:pt idx="153">
                  <c:v>1071825.7316999801</c:v>
                </c:pt>
                <c:pt idx="154">
                  <c:v>1083609.0855999801</c:v>
                </c:pt>
                <c:pt idx="155">
                  <c:v>1079207.2539999799</c:v>
                </c:pt>
                <c:pt idx="156">
                  <c:v>1067062.1750999801</c:v>
                </c:pt>
                <c:pt idx="157">
                  <c:v>1074810.4166999799</c:v>
                </c:pt>
                <c:pt idx="158">
                  <c:v>1062588.8207999801</c:v>
                </c:pt>
                <c:pt idx="159">
                  <c:v>1055522.3119999799</c:v>
                </c:pt>
                <c:pt idx="160">
                  <c:v>1057580.13429998</c:v>
                </c:pt>
                <c:pt idx="161">
                  <c:v>1064487.42199998</c:v>
                </c:pt>
                <c:pt idx="162">
                  <c:v>1077537.74259998</c:v>
                </c:pt>
                <c:pt idx="163">
                  <c:v>1082170.9092999799</c:v>
                </c:pt>
                <c:pt idx="164">
                  <c:v>1079134.6581999799</c:v>
                </c:pt>
                <c:pt idx="165">
                  <c:v>1088860.46299998</c:v>
                </c:pt>
                <c:pt idx="166">
                  <c:v>1081866.49229998</c:v>
                </c:pt>
                <c:pt idx="167">
                  <c:v>1079810.60289998</c:v>
                </c:pt>
                <c:pt idx="168">
                  <c:v>1078983.8740999801</c:v>
                </c:pt>
                <c:pt idx="169">
                  <c:v>1080819.2634999801</c:v>
                </c:pt>
                <c:pt idx="170">
                  <c:v>1074788.9446999801</c:v>
                </c:pt>
                <c:pt idx="171">
                  <c:v>1078724.76809998</c:v>
                </c:pt>
                <c:pt idx="172">
                  <c:v>1081669.3190999799</c:v>
                </c:pt>
                <c:pt idx="173">
                  <c:v>1082397.3031999799</c:v>
                </c:pt>
                <c:pt idx="174">
                  <c:v>1063940.2982999799</c:v>
                </c:pt>
                <c:pt idx="175">
                  <c:v>1067702.8933999799</c:v>
                </c:pt>
                <c:pt idx="176">
                  <c:v>1068427.01699998</c:v>
                </c:pt>
                <c:pt idx="177">
                  <c:v>1069561.8081999801</c:v>
                </c:pt>
                <c:pt idx="178">
                  <c:v>1067044.8164999899</c:v>
                </c:pt>
                <c:pt idx="179">
                  <c:v>1060568.33729998</c:v>
                </c:pt>
                <c:pt idx="180">
                  <c:v>1059083.59649999</c:v>
                </c:pt>
                <c:pt idx="181">
                  <c:v>1060100.2069999799</c:v>
                </c:pt>
                <c:pt idx="182">
                  <c:v>1059866.42089999</c:v>
                </c:pt>
                <c:pt idx="183">
                  <c:v>1070341.56699999</c:v>
                </c:pt>
                <c:pt idx="184">
                  <c:v>1072119.70309999</c:v>
                </c:pt>
                <c:pt idx="185">
                  <c:v>1066237.2398999899</c:v>
                </c:pt>
                <c:pt idx="186">
                  <c:v>1070619.61129999</c:v>
                </c:pt>
                <c:pt idx="187">
                  <c:v>1077971.1621999899</c:v>
                </c:pt>
                <c:pt idx="188">
                  <c:v>1066295.34839999</c:v>
                </c:pt>
                <c:pt idx="189">
                  <c:v>1036650.19829999</c:v>
                </c:pt>
                <c:pt idx="190">
                  <c:v>1021357.3103999899</c:v>
                </c:pt>
                <c:pt idx="191">
                  <c:v>1015659.7944999899</c:v>
                </c:pt>
                <c:pt idx="192">
                  <c:v>1027579.69049999</c:v>
                </c:pt>
                <c:pt idx="193">
                  <c:v>1022498.19029999</c:v>
                </c:pt>
                <c:pt idx="194">
                  <c:v>1021715.07069999</c:v>
                </c:pt>
                <c:pt idx="195">
                  <c:v>994703.80649999005</c:v>
                </c:pt>
                <c:pt idx="196">
                  <c:v>995126.40959999</c:v>
                </c:pt>
                <c:pt idx="197">
                  <c:v>1023861.86509999</c:v>
                </c:pt>
                <c:pt idx="198">
                  <c:v>996776.79249998997</c:v>
                </c:pt>
                <c:pt idx="199">
                  <c:v>995783.39629999001</c:v>
                </c:pt>
                <c:pt idx="200">
                  <c:v>995783.39629999001</c:v>
                </c:pt>
                <c:pt idx="201">
                  <c:v>978228.17879998998</c:v>
                </c:pt>
                <c:pt idx="202">
                  <c:v>986302.42639998998</c:v>
                </c:pt>
                <c:pt idx="203">
                  <c:v>1007179.93309999</c:v>
                </c:pt>
                <c:pt idx="204">
                  <c:v>999286.88279999001</c:v>
                </c:pt>
                <c:pt idx="205">
                  <c:v>1016726.2685999901</c:v>
                </c:pt>
                <c:pt idx="206">
                  <c:v>1016872.80599999</c:v>
                </c:pt>
                <c:pt idx="207">
                  <c:v>1018763.13429999</c:v>
                </c:pt>
                <c:pt idx="208">
                  <c:v>1013215.47169999</c:v>
                </c:pt>
                <c:pt idx="209">
                  <c:v>1000091.68529999</c:v>
                </c:pt>
                <c:pt idx="210">
                  <c:v>1000020.57989999</c:v>
                </c:pt>
                <c:pt idx="211">
                  <c:v>992390.52159998997</c:v>
                </c:pt>
                <c:pt idx="212">
                  <c:v>991717.04859998997</c:v>
                </c:pt>
                <c:pt idx="213">
                  <c:v>999367.66389999096</c:v>
                </c:pt>
                <c:pt idx="214">
                  <c:v>995909.98679998994</c:v>
                </c:pt>
                <c:pt idx="215">
                  <c:v>976461.48909999104</c:v>
                </c:pt>
                <c:pt idx="216">
                  <c:v>974151.42130000796</c:v>
                </c:pt>
                <c:pt idx="217">
                  <c:v>983000.61800001306</c:v>
                </c:pt>
                <c:pt idx="218">
                  <c:v>986513.90780001099</c:v>
                </c:pt>
                <c:pt idx="219">
                  <c:v>984823.52740001201</c:v>
                </c:pt>
                <c:pt idx="220">
                  <c:v>1003930.62070001</c:v>
                </c:pt>
                <c:pt idx="221">
                  <c:v>1005416.69530001</c:v>
                </c:pt>
                <c:pt idx="222">
                  <c:v>998790.73050001299</c:v>
                </c:pt>
                <c:pt idx="223">
                  <c:v>992734.032000012</c:v>
                </c:pt>
                <c:pt idx="224">
                  <c:v>975405.08520001196</c:v>
                </c:pt>
                <c:pt idx="225">
                  <c:v>985842.91520001204</c:v>
                </c:pt>
                <c:pt idx="226">
                  <c:v>977436.10550001205</c:v>
                </c:pt>
                <c:pt idx="227">
                  <c:v>990353.96310001204</c:v>
                </c:pt>
                <c:pt idx="228">
                  <c:v>983046.16520001204</c:v>
                </c:pt>
                <c:pt idx="229">
                  <c:v>995877.95210001199</c:v>
                </c:pt>
                <c:pt idx="230">
                  <c:v>993088.67830001202</c:v>
                </c:pt>
                <c:pt idx="231">
                  <c:v>994538.269800012</c:v>
                </c:pt>
                <c:pt idx="232">
                  <c:v>977263.40020001202</c:v>
                </c:pt>
                <c:pt idx="233">
                  <c:v>973646.93020001205</c:v>
                </c:pt>
                <c:pt idx="234">
                  <c:v>974704.08450001199</c:v>
                </c:pt>
                <c:pt idx="235">
                  <c:v>972120.70340001199</c:v>
                </c:pt>
                <c:pt idx="236">
                  <c:v>977818.82420001202</c:v>
                </c:pt>
                <c:pt idx="237">
                  <c:v>983809.36130001198</c:v>
                </c:pt>
                <c:pt idx="238">
                  <c:v>986672.08040001197</c:v>
                </c:pt>
                <c:pt idx="239">
                  <c:v>993280.68290001201</c:v>
                </c:pt>
                <c:pt idx="240">
                  <c:v>990850.79480001202</c:v>
                </c:pt>
                <c:pt idx="241">
                  <c:v>994010.742800012</c:v>
                </c:pt>
                <c:pt idx="242">
                  <c:v>1000154.90980001</c:v>
                </c:pt>
                <c:pt idx="243">
                  <c:v>998884.68470001197</c:v>
                </c:pt>
                <c:pt idx="244">
                  <c:v>1005001.01110001</c:v>
                </c:pt>
                <c:pt idx="245">
                  <c:v>1002393.72710001</c:v>
                </c:pt>
                <c:pt idx="246">
                  <c:v>989804.67090001202</c:v>
                </c:pt>
                <c:pt idx="247">
                  <c:v>984246.94080001197</c:v>
                </c:pt>
                <c:pt idx="248">
                  <c:v>993519.77910001203</c:v>
                </c:pt>
                <c:pt idx="249">
                  <c:v>987648.21120001201</c:v>
                </c:pt>
                <c:pt idx="250">
                  <c:v>971935.653300012</c:v>
                </c:pt>
                <c:pt idx="251">
                  <c:v>959094.63410001202</c:v>
                </c:pt>
                <c:pt idx="252">
                  <c:v>949035.97060001199</c:v>
                </c:pt>
                <c:pt idx="253">
                  <c:v>951407.11290001206</c:v>
                </c:pt>
                <c:pt idx="254">
                  <c:v>953212.27650001203</c:v>
                </c:pt>
                <c:pt idx="255">
                  <c:v>943442.305300012</c:v>
                </c:pt>
                <c:pt idx="256">
                  <c:v>964122.23560001201</c:v>
                </c:pt>
                <c:pt idx="257">
                  <c:v>973644.68340001197</c:v>
                </c:pt>
                <c:pt idx="258">
                  <c:v>969481.48330001195</c:v>
                </c:pt>
                <c:pt idx="259">
                  <c:v>970391.94430001196</c:v>
                </c:pt>
                <c:pt idx="260">
                  <c:v>974823.96370001195</c:v>
                </c:pt>
                <c:pt idx="261">
                  <c:v>978614.22830001195</c:v>
                </c:pt>
                <c:pt idx="262">
                  <c:v>980723.87850001105</c:v>
                </c:pt>
                <c:pt idx="263">
                  <c:v>998301.014700011</c:v>
                </c:pt>
                <c:pt idx="264">
                  <c:v>1002694.79200001</c:v>
                </c:pt>
                <c:pt idx="265">
                  <c:v>999297.69630001194</c:v>
                </c:pt>
                <c:pt idx="266">
                  <c:v>1008718.84860001</c:v>
                </c:pt>
                <c:pt idx="267">
                  <c:v>999002.35440001101</c:v>
                </c:pt>
                <c:pt idx="268">
                  <c:v>996330.827200011</c:v>
                </c:pt>
                <c:pt idx="269">
                  <c:v>995405.948500011</c:v>
                </c:pt>
                <c:pt idx="270">
                  <c:v>997397.34090001101</c:v>
                </c:pt>
                <c:pt idx="271">
                  <c:v>999470.36770001205</c:v>
                </c:pt>
                <c:pt idx="272">
                  <c:v>993088.65420001105</c:v>
                </c:pt>
                <c:pt idx="273">
                  <c:v>994140.56970001105</c:v>
                </c:pt>
                <c:pt idx="274">
                  <c:v>997037.621500012</c:v>
                </c:pt>
                <c:pt idx="275">
                  <c:v>998878.33190001198</c:v>
                </c:pt>
                <c:pt idx="276">
                  <c:v>1003231.42570001</c:v>
                </c:pt>
                <c:pt idx="277">
                  <c:v>1008694.36470001</c:v>
                </c:pt>
                <c:pt idx="278">
                  <c:v>1009349.68200001</c:v>
                </c:pt>
                <c:pt idx="279">
                  <c:v>1006104.52940001</c:v>
                </c:pt>
                <c:pt idx="280">
                  <c:v>997230.48900001205</c:v>
                </c:pt>
                <c:pt idx="281">
                  <c:v>1001075.5402000099</c:v>
                </c:pt>
                <c:pt idx="282">
                  <c:v>993884.66150001204</c:v>
                </c:pt>
                <c:pt idx="283">
                  <c:v>1008160.06950001</c:v>
                </c:pt>
                <c:pt idx="284">
                  <c:v>1008383.09600001</c:v>
                </c:pt>
                <c:pt idx="285">
                  <c:v>1018165.75480001</c:v>
                </c:pt>
                <c:pt idx="286">
                  <c:v>1021292.84130001</c:v>
                </c:pt>
                <c:pt idx="287">
                  <c:v>1016783.0635000099</c:v>
                </c:pt>
                <c:pt idx="288">
                  <c:v>996282.61130001303</c:v>
                </c:pt>
                <c:pt idx="289">
                  <c:v>988047.85150001303</c:v>
                </c:pt>
                <c:pt idx="290">
                  <c:v>1007430.90190001</c:v>
                </c:pt>
                <c:pt idx="291">
                  <c:v>1022396.50690001</c:v>
                </c:pt>
                <c:pt idx="292">
                  <c:v>1024582.26680001</c:v>
                </c:pt>
                <c:pt idx="293">
                  <c:v>1010374.95470001</c:v>
                </c:pt>
                <c:pt idx="294">
                  <c:v>1008412.92970001</c:v>
                </c:pt>
                <c:pt idx="295">
                  <c:v>1002481.8344000099</c:v>
                </c:pt>
                <c:pt idx="296">
                  <c:v>1010525.88460001</c:v>
                </c:pt>
                <c:pt idx="297">
                  <c:v>1013074.41710001</c:v>
                </c:pt>
                <c:pt idx="298">
                  <c:v>1009676.58840001</c:v>
                </c:pt>
                <c:pt idx="299">
                  <c:v>1002495.59300001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B-43D2-9B4B-D97B48B71BCA}"/>
            </c:ext>
          </c:extLst>
        </c:ser>
        <c:ser>
          <c:idx val="3"/>
          <c:order val="3"/>
          <c:tx>
            <c:strRef>
              <c:f>主板!$H$1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主板!$H$2:$H$301</c:f>
              <c:numCache>
                <c:formatCode>General</c:formatCode>
                <c:ptCount val="300"/>
                <c:pt idx="0">
                  <c:v>1000000</c:v>
                </c:pt>
                <c:pt idx="1">
                  <c:v>1017256.69212</c:v>
                </c:pt>
                <c:pt idx="2">
                  <c:v>1009433.1579</c:v>
                </c:pt>
                <c:pt idx="3">
                  <c:v>1016467.4171800001</c:v>
                </c:pt>
                <c:pt idx="4">
                  <c:v>1009332.4429400001</c:v>
                </c:pt>
                <c:pt idx="5">
                  <c:v>990616.12398000003</c:v>
                </c:pt>
                <c:pt idx="6">
                  <c:v>1017897.5414000001</c:v>
                </c:pt>
                <c:pt idx="7">
                  <c:v>1035594.21326</c:v>
                </c:pt>
                <c:pt idx="8">
                  <c:v>1020636.32654</c:v>
                </c:pt>
                <c:pt idx="9">
                  <c:v>1008636.8057199999</c:v>
                </c:pt>
                <c:pt idx="10">
                  <c:v>1000778.736239998</c:v>
                </c:pt>
                <c:pt idx="11">
                  <c:v>1014475.3830399981</c:v>
                </c:pt>
                <c:pt idx="12">
                  <c:v>1040700.9985799979</c:v>
                </c:pt>
                <c:pt idx="13">
                  <c:v>1016361.6674399979</c:v>
                </c:pt>
                <c:pt idx="14">
                  <c:v>1020915.0012199979</c:v>
                </c:pt>
                <c:pt idx="15">
                  <c:v>1014211.4205799981</c:v>
                </c:pt>
                <c:pt idx="16">
                  <c:v>1035182.000959998</c:v>
                </c:pt>
                <c:pt idx="17">
                  <c:v>1059159.556979998</c:v>
                </c:pt>
                <c:pt idx="18">
                  <c:v>1047617.680459998</c:v>
                </c:pt>
                <c:pt idx="19">
                  <c:v>1029173.2929199981</c:v>
                </c:pt>
                <c:pt idx="20">
                  <c:v>1011985.1673999981</c:v>
                </c:pt>
                <c:pt idx="21">
                  <c:v>1023373.368219998</c:v>
                </c:pt>
                <c:pt idx="22">
                  <c:v>996587.51619999798</c:v>
                </c:pt>
                <c:pt idx="23">
                  <c:v>1001183.405319998</c:v>
                </c:pt>
                <c:pt idx="24">
                  <c:v>983500.30265999993</c:v>
                </c:pt>
                <c:pt idx="25">
                  <c:v>976138.47023999807</c:v>
                </c:pt>
                <c:pt idx="26">
                  <c:v>967726.31171999802</c:v>
                </c:pt>
                <c:pt idx="27">
                  <c:v>963974.16137999797</c:v>
                </c:pt>
                <c:pt idx="28">
                  <c:v>1003784.0796000001</c:v>
                </c:pt>
                <c:pt idx="29">
                  <c:v>993717.65236000007</c:v>
                </c:pt>
                <c:pt idx="30">
                  <c:v>988218.99494</c:v>
                </c:pt>
                <c:pt idx="31">
                  <c:v>953561.59250000003</c:v>
                </c:pt>
                <c:pt idx="32">
                  <c:v>932457.32533999998</c:v>
                </c:pt>
                <c:pt idx="33">
                  <c:v>928224.39034000004</c:v>
                </c:pt>
                <c:pt idx="34">
                  <c:v>911246.58025999996</c:v>
                </c:pt>
                <c:pt idx="35">
                  <c:v>909399.17547999998</c:v>
                </c:pt>
                <c:pt idx="36">
                  <c:v>891021.87171999994</c:v>
                </c:pt>
                <c:pt idx="37">
                  <c:v>883565.67874</c:v>
                </c:pt>
                <c:pt idx="38">
                  <c:v>899710.35057999997</c:v>
                </c:pt>
                <c:pt idx="39">
                  <c:v>920554.51857999992</c:v>
                </c:pt>
                <c:pt idx="40">
                  <c:v>950813.60210000002</c:v>
                </c:pt>
                <c:pt idx="41">
                  <c:v>952294.55986000004</c:v>
                </c:pt>
                <c:pt idx="42">
                  <c:v>919822.76574000006</c:v>
                </c:pt>
                <c:pt idx="43">
                  <c:v>919822.76574000006</c:v>
                </c:pt>
                <c:pt idx="44">
                  <c:v>919822.76574000006</c:v>
                </c:pt>
                <c:pt idx="45">
                  <c:v>919822.76574000006</c:v>
                </c:pt>
                <c:pt idx="46">
                  <c:v>927563.32939999993</c:v>
                </c:pt>
                <c:pt idx="47">
                  <c:v>917674.19605999789</c:v>
                </c:pt>
                <c:pt idx="48">
                  <c:v>903899.43257999793</c:v>
                </c:pt>
                <c:pt idx="49">
                  <c:v>891069.38581999799</c:v>
                </c:pt>
                <c:pt idx="50">
                  <c:v>914513.03905999789</c:v>
                </c:pt>
                <c:pt idx="51">
                  <c:v>887517.10465999809</c:v>
                </c:pt>
                <c:pt idx="52">
                  <c:v>893179.15657999797</c:v>
                </c:pt>
                <c:pt idx="53">
                  <c:v>911992.58783999796</c:v>
                </c:pt>
                <c:pt idx="54">
                  <c:v>895526.20833999792</c:v>
                </c:pt>
                <c:pt idx="55">
                  <c:v>894560.14043999801</c:v>
                </c:pt>
                <c:pt idx="56">
                  <c:v>871523.10631999804</c:v>
                </c:pt>
                <c:pt idx="57">
                  <c:v>872576.55217999802</c:v>
                </c:pt>
                <c:pt idx="58">
                  <c:v>841866.96373999992</c:v>
                </c:pt>
                <c:pt idx="59">
                  <c:v>813319.12809999799</c:v>
                </c:pt>
                <c:pt idx="60">
                  <c:v>808410.89923999994</c:v>
                </c:pt>
                <c:pt idx="61">
                  <c:v>819155.42559999798</c:v>
                </c:pt>
                <c:pt idx="62">
                  <c:v>810884.16287999798</c:v>
                </c:pt>
                <c:pt idx="63">
                  <c:v>798830.93757999805</c:v>
                </c:pt>
                <c:pt idx="64">
                  <c:v>756071.42537999793</c:v>
                </c:pt>
                <c:pt idx="65">
                  <c:v>776878.66265999794</c:v>
                </c:pt>
                <c:pt idx="66">
                  <c:v>799134.56849999796</c:v>
                </c:pt>
                <c:pt idx="67">
                  <c:v>803108.33073999803</c:v>
                </c:pt>
                <c:pt idx="68">
                  <c:v>809231.17389999796</c:v>
                </c:pt>
                <c:pt idx="69">
                  <c:v>804471.55933999806</c:v>
                </c:pt>
                <c:pt idx="70">
                  <c:v>814065.78733999806</c:v>
                </c:pt>
                <c:pt idx="71">
                  <c:v>806329.38066000002</c:v>
                </c:pt>
                <c:pt idx="72">
                  <c:v>794718.52573999995</c:v>
                </c:pt>
                <c:pt idx="73">
                  <c:v>787589.87198000005</c:v>
                </c:pt>
                <c:pt idx="74">
                  <c:v>792018.39831999992</c:v>
                </c:pt>
                <c:pt idx="75">
                  <c:v>809533.94519999996</c:v>
                </c:pt>
                <c:pt idx="76">
                  <c:v>796748.45883999998</c:v>
                </c:pt>
                <c:pt idx="77">
                  <c:v>787913.75631999993</c:v>
                </c:pt>
                <c:pt idx="78">
                  <c:v>776750.33483999991</c:v>
                </c:pt>
                <c:pt idx="79">
                  <c:v>755664.98439999996</c:v>
                </c:pt>
                <c:pt idx="80">
                  <c:v>738001.86990000005</c:v>
                </c:pt>
                <c:pt idx="81">
                  <c:v>719304.68130000005</c:v>
                </c:pt>
                <c:pt idx="82">
                  <c:v>712826.77093999996</c:v>
                </c:pt>
                <c:pt idx="83">
                  <c:v>731620.32140000002</c:v>
                </c:pt>
                <c:pt idx="84">
                  <c:v>762011.6703</c:v>
                </c:pt>
                <c:pt idx="85">
                  <c:v>740185.51982000005</c:v>
                </c:pt>
                <c:pt idx="86">
                  <c:v>746293.55310000002</c:v>
                </c:pt>
                <c:pt idx="87">
                  <c:v>743027.21569999994</c:v>
                </c:pt>
                <c:pt idx="88">
                  <c:v>732147.73257999995</c:v>
                </c:pt>
                <c:pt idx="89">
                  <c:v>700032.19227999996</c:v>
                </c:pt>
                <c:pt idx="90">
                  <c:v>725751.16664000007</c:v>
                </c:pt>
                <c:pt idx="91">
                  <c:v>692601.33935999998</c:v>
                </c:pt>
                <c:pt idx="92">
                  <c:v>674573.70325999998</c:v>
                </c:pt>
                <c:pt idx="93">
                  <c:v>698221.40915999806</c:v>
                </c:pt>
                <c:pt idx="94">
                  <c:v>697864.14079999807</c:v>
                </c:pt>
                <c:pt idx="95">
                  <c:v>708868.33483999805</c:v>
                </c:pt>
                <c:pt idx="96">
                  <c:v>728068.89215999807</c:v>
                </c:pt>
                <c:pt idx="97">
                  <c:v>738368.83079999802</c:v>
                </c:pt>
                <c:pt idx="98">
                  <c:v>753613.28717999801</c:v>
                </c:pt>
                <c:pt idx="99">
                  <c:v>763321.97593999805</c:v>
                </c:pt>
                <c:pt idx="100">
                  <c:v>770772.17301999801</c:v>
                </c:pt>
                <c:pt idx="101">
                  <c:v>771959.16609999794</c:v>
                </c:pt>
                <c:pt idx="102">
                  <c:v>782296.90063999803</c:v>
                </c:pt>
                <c:pt idx="103">
                  <c:v>773611.93969999801</c:v>
                </c:pt>
                <c:pt idx="104">
                  <c:v>788497.88207999803</c:v>
                </c:pt>
                <c:pt idx="105">
                  <c:v>808563.276659998</c:v>
                </c:pt>
                <c:pt idx="106">
                  <c:v>827002.81753999798</c:v>
                </c:pt>
                <c:pt idx="107">
                  <c:v>835015.70183999802</c:v>
                </c:pt>
                <c:pt idx="108">
                  <c:v>836915.90781999798</c:v>
                </c:pt>
                <c:pt idx="109">
                  <c:v>837652.69133999804</c:v>
                </c:pt>
                <c:pt idx="110">
                  <c:v>837317.96901999798</c:v>
                </c:pt>
                <c:pt idx="111">
                  <c:v>839615.41995999799</c:v>
                </c:pt>
                <c:pt idx="112">
                  <c:v>843875.77831999806</c:v>
                </c:pt>
                <c:pt idx="113">
                  <c:v>867031.48973999801</c:v>
                </c:pt>
                <c:pt idx="114">
                  <c:v>863089.84763999807</c:v>
                </c:pt>
                <c:pt idx="115">
                  <c:v>884775.6543999979</c:v>
                </c:pt>
                <c:pt idx="116">
                  <c:v>917080.79977999791</c:v>
                </c:pt>
                <c:pt idx="117">
                  <c:v>932574.91221999808</c:v>
                </c:pt>
                <c:pt idx="118">
                  <c:v>929926.34613999794</c:v>
                </c:pt>
                <c:pt idx="119">
                  <c:v>951886.4427999981</c:v>
                </c:pt>
                <c:pt idx="120">
                  <c:v>953705.40393999801</c:v>
                </c:pt>
                <c:pt idx="121">
                  <c:v>986923.26453999802</c:v>
                </c:pt>
                <c:pt idx="122">
                  <c:v>1005200.2404199981</c:v>
                </c:pt>
                <c:pt idx="123">
                  <c:v>1025757.1853799981</c:v>
                </c:pt>
                <c:pt idx="124">
                  <c:v>1007723.6181999979</c:v>
                </c:pt>
                <c:pt idx="125">
                  <c:v>1050628.1159399981</c:v>
                </c:pt>
                <c:pt idx="126">
                  <c:v>1069033.1634599981</c:v>
                </c:pt>
                <c:pt idx="127">
                  <c:v>1096815.5528999981</c:v>
                </c:pt>
                <c:pt idx="128">
                  <c:v>1101393.111859998</c:v>
                </c:pt>
                <c:pt idx="129">
                  <c:v>1113502.871959998</c:v>
                </c:pt>
                <c:pt idx="130">
                  <c:v>1121980.618279998</c:v>
                </c:pt>
                <c:pt idx="131">
                  <c:v>1147023.5594399979</c:v>
                </c:pt>
                <c:pt idx="132">
                  <c:v>1156493.8359199981</c:v>
                </c:pt>
                <c:pt idx="133">
                  <c:v>1217150.548019998</c:v>
                </c:pt>
                <c:pt idx="134">
                  <c:v>1180103.5648199979</c:v>
                </c:pt>
                <c:pt idx="135">
                  <c:v>1206042.9212599979</c:v>
                </c:pt>
                <c:pt idx="136">
                  <c:v>1239198.3329199979</c:v>
                </c:pt>
                <c:pt idx="137">
                  <c:v>1258165.846639998</c:v>
                </c:pt>
                <c:pt idx="138">
                  <c:v>1233520.113999998</c:v>
                </c:pt>
                <c:pt idx="139">
                  <c:v>1206389.6914999981</c:v>
                </c:pt>
                <c:pt idx="140">
                  <c:v>1218596.107219998</c:v>
                </c:pt>
                <c:pt idx="141">
                  <c:v>1229508.3208199979</c:v>
                </c:pt>
                <c:pt idx="142">
                  <c:v>1240658.2806399981</c:v>
                </c:pt>
                <c:pt idx="143">
                  <c:v>1263620.4792599981</c:v>
                </c:pt>
                <c:pt idx="144">
                  <c:v>1303453.517199998</c:v>
                </c:pt>
                <c:pt idx="145">
                  <c:v>1347371.966379998</c:v>
                </c:pt>
                <c:pt idx="146">
                  <c:v>1336890.8701399979</c:v>
                </c:pt>
                <c:pt idx="147">
                  <c:v>1368057.325479998</c:v>
                </c:pt>
                <c:pt idx="148">
                  <c:v>1394515.2453199981</c:v>
                </c:pt>
                <c:pt idx="149">
                  <c:v>1399733.2000399982</c:v>
                </c:pt>
                <c:pt idx="150">
                  <c:v>1420255.312819998</c:v>
                </c:pt>
                <c:pt idx="151">
                  <c:v>1407688.7534599979</c:v>
                </c:pt>
                <c:pt idx="152">
                  <c:v>1399431.0346999981</c:v>
                </c:pt>
                <c:pt idx="153">
                  <c:v>1436307.9055999978</c:v>
                </c:pt>
                <c:pt idx="154">
                  <c:v>1460140.985179998</c:v>
                </c:pt>
                <c:pt idx="155">
                  <c:v>1501373.4761799979</c:v>
                </c:pt>
                <c:pt idx="156">
                  <c:v>1543936.8520399979</c:v>
                </c:pt>
                <c:pt idx="157">
                  <c:v>1598408.6544799979</c:v>
                </c:pt>
                <c:pt idx="158">
                  <c:v>1594182.580619998</c:v>
                </c:pt>
                <c:pt idx="159">
                  <c:v>1598749.0689799979</c:v>
                </c:pt>
                <c:pt idx="160">
                  <c:v>1643482.7985599979</c:v>
                </c:pt>
                <c:pt idx="161">
                  <c:v>1677705.749339998</c:v>
                </c:pt>
                <c:pt idx="162">
                  <c:v>1712494.1756599981</c:v>
                </c:pt>
                <c:pt idx="163">
                  <c:v>1733704.758879998</c:v>
                </c:pt>
                <c:pt idx="164">
                  <c:v>1749345.533219998</c:v>
                </c:pt>
                <c:pt idx="165">
                  <c:v>1704255.289979998</c:v>
                </c:pt>
                <c:pt idx="166">
                  <c:v>1692356.2018599981</c:v>
                </c:pt>
                <c:pt idx="167">
                  <c:v>1690074.924859998</c:v>
                </c:pt>
                <c:pt idx="168">
                  <c:v>1680337.185339998</c:v>
                </c:pt>
                <c:pt idx="169">
                  <c:v>1687244.1858399981</c:v>
                </c:pt>
                <c:pt idx="170">
                  <c:v>1648601.9497199981</c:v>
                </c:pt>
                <c:pt idx="171">
                  <c:v>1640269.3426999981</c:v>
                </c:pt>
                <c:pt idx="172">
                  <c:v>1642496.2449599979</c:v>
                </c:pt>
                <c:pt idx="173">
                  <c:v>1605493.891679998</c:v>
                </c:pt>
                <c:pt idx="174">
                  <c:v>1561196.741599998</c:v>
                </c:pt>
                <c:pt idx="175">
                  <c:v>1549673.4296999979</c:v>
                </c:pt>
                <c:pt idx="176">
                  <c:v>1582797.4939399981</c:v>
                </c:pt>
                <c:pt idx="177">
                  <c:v>1596372.094799998</c:v>
                </c:pt>
                <c:pt idx="178">
                  <c:v>1570373.9598799979</c:v>
                </c:pt>
                <c:pt idx="179">
                  <c:v>1522484.9161599982</c:v>
                </c:pt>
                <c:pt idx="180">
                  <c:v>1506704.675739998</c:v>
                </c:pt>
                <c:pt idx="181">
                  <c:v>1505904.4315999979</c:v>
                </c:pt>
                <c:pt idx="182">
                  <c:v>1542166.1539199981</c:v>
                </c:pt>
                <c:pt idx="183">
                  <c:v>1560447.3230199979</c:v>
                </c:pt>
                <c:pt idx="184">
                  <c:v>1566880.8505999981</c:v>
                </c:pt>
                <c:pt idx="185">
                  <c:v>1531882.0905399979</c:v>
                </c:pt>
                <c:pt idx="186">
                  <c:v>1520733.3554599979</c:v>
                </c:pt>
                <c:pt idx="187">
                  <c:v>1497484.083279998</c:v>
                </c:pt>
                <c:pt idx="188">
                  <c:v>1490300.149079998</c:v>
                </c:pt>
                <c:pt idx="189">
                  <c:v>1457348.445059998</c:v>
                </c:pt>
                <c:pt idx="190">
                  <c:v>1441257.3274199979</c:v>
                </c:pt>
                <c:pt idx="191">
                  <c:v>1497372.1577199982</c:v>
                </c:pt>
                <c:pt idx="192">
                  <c:v>1549704.1217599981</c:v>
                </c:pt>
                <c:pt idx="193">
                  <c:v>1536366.2686799981</c:v>
                </c:pt>
                <c:pt idx="194">
                  <c:v>1572563.4690199981</c:v>
                </c:pt>
                <c:pt idx="195">
                  <c:v>1532455.4846199979</c:v>
                </c:pt>
                <c:pt idx="196">
                  <c:v>1519457.1065199981</c:v>
                </c:pt>
                <c:pt idx="197">
                  <c:v>1527803.109539998</c:v>
                </c:pt>
                <c:pt idx="198">
                  <c:v>1493426.430179998</c:v>
                </c:pt>
                <c:pt idx="199">
                  <c:v>1467326.4399799979</c:v>
                </c:pt>
                <c:pt idx="200">
                  <c:v>1430887.7668799979</c:v>
                </c:pt>
                <c:pt idx="201">
                  <c:v>1471636.890019998</c:v>
                </c:pt>
                <c:pt idx="202">
                  <c:v>1483178.4523199978</c:v>
                </c:pt>
                <c:pt idx="203">
                  <c:v>1491243.6197599978</c:v>
                </c:pt>
                <c:pt idx="204">
                  <c:v>1526692.933879998</c:v>
                </c:pt>
                <c:pt idx="205">
                  <c:v>1540024.5754399979</c:v>
                </c:pt>
                <c:pt idx="206">
                  <c:v>1514910.9541999982</c:v>
                </c:pt>
                <c:pt idx="207">
                  <c:v>1514204.7927799979</c:v>
                </c:pt>
                <c:pt idx="208">
                  <c:v>1506996.2997799979</c:v>
                </c:pt>
                <c:pt idx="209">
                  <c:v>1516710.7353799981</c:v>
                </c:pt>
                <c:pt idx="210">
                  <c:v>1568975.813679998</c:v>
                </c:pt>
                <c:pt idx="211">
                  <c:v>1601718.9394199981</c:v>
                </c:pt>
                <c:pt idx="212">
                  <c:v>1635057.8710599979</c:v>
                </c:pt>
                <c:pt idx="213">
                  <c:v>1621919.0223199981</c:v>
                </c:pt>
                <c:pt idx="214">
                  <c:v>1568058.225239998</c:v>
                </c:pt>
                <c:pt idx="215">
                  <c:v>1601068.098159998</c:v>
                </c:pt>
                <c:pt idx="216">
                  <c:v>1669977.6368999979</c:v>
                </c:pt>
                <c:pt idx="217">
                  <c:v>1749903.4728399981</c:v>
                </c:pt>
                <c:pt idx="218">
                  <c:v>1786967.270339998</c:v>
                </c:pt>
                <c:pt idx="219">
                  <c:v>1858772.9254799981</c:v>
                </c:pt>
                <c:pt idx="220">
                  <c:v>1843293.7462199978</c:v>
                </c:pt>
                <c:pt idx="221">
                  <c:v>1836160.805539998</c:v>
                </c:pt>
                <c:pt idx="222">
                  <c:v>1832904.645439998</c:v>
                </c:pt>
                <c:pt idx="223">
                  <c:v>1768526.3091599979</c:v>
                </c:pt>
                <c:pt idx="224">
                  <c:v>1814658.2312199981</c:v>
                </c:pt>
                <c:pt idx="225">
                  <c:v>1758020.8399599981</c:v>
                </c:pt>
                <c:pt idx="226">
                  <c:v>1800461.8809599981</c:v>
                </c:pt>
                <c:pt idx="227">
                  <c:v>1750856.5316399981</c:v>
                </c:pt>
                <c:pt idx="228">
                  <c:v>1727339.7629999979</c:v>
                </c:pt>
                <c:pt idx="229">
                  <c:v>1689950.876759998</c:v>
                </c:pt>
                <c:pt idx="230">
                  <c:v>1696695.4359399981</c:v>
                </c:pt>
                <c:pt idx="231">
                  <c:v>1665366.2541599979</c:v>
                </c:pt>
                <c:pt idx="232">
                  <c:v>1642060.0330799981</c:v>
                </c:pt>
                <c:pt idx="233">
                  <c:v>1653442.073979998</c:v>
                </c:pt>
                <c:pt idx="234">
                  <c:v>1631706.584159998</c:v>
                </c:pt>
                <c:pt idx="235">
                  <c:v>1645614.030499998</c:v>
                </c:pt>
                <c:pt idx="236">
                  <c:v>1647412.8152799981</c:v>
                </c:pt>
                <c:pt idx="237">
                  <c:v>1649954.8191599981</c:v>
                </c:pt>
                <c:pt idx="238">
                  <c:v>1686294.174579998</c:v>
                </c:pt>
                <c:pt idx="239">
                  <c:v>1677689.915459998</c:v>
                </c:pt>
                <c:pt idx="240">
                  <c:v>1704942.2347399979</c:v>
                </c:pt>
                <c:pt idx="241">
                  <c:v>1712064.1809799981</c:v>
                </c:pt>
                <c:pt idx="242">
                  <c:v>1716341.0500599979</c:v>
                </c:pt>
                <c:pt idx="243">
                  <c:v>1745505.067219998</c:v>
                </c:pt>
                <c:pt idx="244">
                  <c:v>1723749.3949599981</c:v>
                </c:pt>
                <c:pt idx="245">
                  <c:v>1691915.0228399981</c:v>
                </c:pt>
                <c:pt idx="246">
                  <c:v>1672141.9203999978</c:v>
                </c:pt>
                <c:pt idx="247">
                  <c:v>1698220.999619998</c:v>
                </c:pt>
                <c:pt idx="248">
                  <c:v>1685394.1328999982</c:v>
                </c:pt>
                <c:pt idx="249">
                  <c:v>1662044.5160799981</c:v>
                </c:pt>
                <c:pt idx="250">
                  <c:v>1667802.6935199979</c:v>
                </c:pt>
                <c:pt idx="251">
                  <c:v>1652050.255459998</c:v>
                </c:pt>
                <c:pt idx="252">
                  <c:v>1636605.8625599979</c:v>
                </c:pt>
                <c:pt idx="253">
                  <c:v>1604948.0975999979</c:v>
                </c:pt>
                <c:pt idx="254">
                  <c:v>1593502.2923799981</c:v>
                </c:pt>
                <c:pt idx="255">
                  <c:v>1609721.6510199981</c:v>
                </c:pt>
                <c:pt idx="256">
                  <c:v>1657395.6104799979</c:v>
                </c:pt>
                <c:pt idx="257">
                  <c:v>1651802.8969199979</c:v>
                </c:pt>
                <c:pt idx="258">
                  <c:v>1657169.0187999981</c:v>
                </c:pt>
                <c:pt idx="259">
                  <c:v>1681720.6763599981</c:v>
                </c:pt>
                <c:pt idx="260">
                  <c:v>1704841.0358999979</c:v>
                </c:pt>
                <c:pt idx="261">
                  <c:v>1706431.527559998</c:v>
                </c:pt>
                <c:pt idx="262">
                  <c:v>1746026.6538599979</c:v>
                </c:pt>
                <c:pt idx="263">
                  <c:v>1733882.2262399979</c:v>
                </c:pt>
                <c:pt idx="264">
                  <c:v>1761133.2249399978</c:v>
                </c:pt>
                <c:pt idx="265">
                  <c:v>1803496.6613599979</c:v>
                </c:pt>
                <c:pt idx="266">
                  <c:v>1781677.0641999978</c:v>
                </c:pt>
                <c:pt idx="267">
                  <c:v>1783877.804939996</c:v>
                </c:pt>
                <c:pt idx="268">
                  <c:v>1769794.7119199962</c:v>
                </c:pt>
                <c:pt idx="269">
                  <c:v>1799193.2947399959</c:v>
                </c:pt>
                <c:pt idx="270">
                  <c:v>1785836.8628999977</c:v>
                </c:pt>
                <c:pt idx="271">
                  <c:v>1790145.4776999981</c:v>
                </c:pt>
                <c:pt idx="272">
                  <c:v>1795209.5957799978</c:v>
                </c:pt>
                <c:pt idx="273">
                  <c:v>1807391.8377599958</c:v>
                </c:pt>
                <c:pt idx="274">
                  <c:v>1861638.1879399959</c:v>
                </c:pt>
                <c:pt idx="275">
                  <c:v>1881782.221159996</c:v>
                </c:pt>
                <c:pt idx="276">
                  <c:v>1906346.4218199961</c:v>
                </c:pt>
                <c:pt idx="277">
                  <c:v>1927255.087359996</c:v>
                </c:pt>
                <c:pt idx="278">
                  <c:v>1908685.8810599979</c:v>
                </c:pt>
                <c:pt idx="279">
                  <c:v>1876701.5905999958</c:v>
                </c:pt>
                <c:pt idx="280">
                  <c:v>1895269.9157599979</c:v>
                </c:pt>
                <c:pt idx="281">
                  <c:v>1891875.4413399962</c:v>
                </c:pt>
                <c:pt idx="282">
                  <c:v>1944442.6565599958</c:v>
                </c:pt>
                <c:pt idx="283">
                  <c:v>1899018.831699996</c:v>
                </c:pt>
                <c:pt idx="284">
                  <c:v>1906313.6772599961</c:v>
                </c:pt>
                <c:pt idx="285">
                  <c:v>1937635.0522999961</c:v>
                </c:pt>
                <c:pt idx="286">
                  <c:v>1919643.568179996</c:v>
                </c:pt>
                <c:pt idx="287">
                  <c:v>1856389.0581999961</c:v>
                </c:pt>
                <c:pt idx="288">
                  <c:v>1884392.7832399961</c:v>
                </c:pt>
                <c:pt idx="289">
                  <c:v>1918334.6898399959</c:v>
                </c:pt>
                <c:pt idx="290">
                  <c:v>1953321.1291999959</c:v>
                </c:pt>
                <c:pt idx="291">
                  <c:v>1966765.2879199958</c:v>
                </c:pt>
                <c:pt idx="292">
                  <c:v>1991551.0717999961</c:v>
                </c:pt>
                <c:pt idx="293">
                  <c:v>1992617.8055999961</c:v>
                </c:pt>
                <c:pt idx="294">
                  <c:v>2016663.2006799798</c:v>
                </c:pt>
                <c:pt idx="295">
                  <c:v>2044908.64175998</c:v>
                </c:pt>
                <c:pt idx="296">
                  <c:v>2030640.3336999801</c:v>
                </c:pt>
                <c:pt idx="297">
                  <c:v>1973682.1578999958</c:v>
                </c:pt>
                <c:pt idx="298">
                  <c:v>1970159.4963999961</c:v>
                </c:pt>
                <c:pt idx="299">
                  <c:v>1957444.151959996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B-43D2-9B4B-D97B48B71BCA}"/>
            </c:ext>
          </c:extLst>
        </c:ser>
        <c:ser>
          <c:idx val="4"/>
          <c:order val="4"/>
          <c:tx>
            <c:strRef>
              <c:f>主板!$I$1</c:f>
              <c:strCache>
                <c:ptCount val="1"/>
                <c:pt idx="0">
                  <c:v>MLP_R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主板!$I$2:$I$301</c:f>
              <c:numCache>
                <c:formatCode>General</c:formatCode>
                <c:ptCount val="300"/>
                <c:pt idx="0">
                  <c:v>1000000</c:v>
                </c:pt>
                <c:pt idx="1">
                  <c:v>1017256.69212</c:v>
                </c:pt>
                <c:pt idx="2">
                  <c:v>1004606.363239998</c:v>
                </c:pt>
                <c:pt idx="3">
                  <c:v>1011646.87346</c:v>
                </c:pt>
                <c:pt idx="4">
                  <c:v>1012342.4245200001</c:v>
                </c:pt>
                <c:pt idx="5">
                  <c:v>995002.11972000008</c:v>
                </c:pt>
                <c:pt idx="6">
                  <c:v>1020236.4294399999</c:v>
                </c:pt>
                <c:pt idx="7">
                  <c:v>1040730.15414</c:v>
                </c:pt>
                <c:pt idx="8">
                  <c:v>1028115.43486</c:v>
                </c:pt>
                <c:pt idx="9">
                  <c:v>1032542.70536</c:v>
                </c:pt>
                <c:pt idx="10">
                  <c:v>1041751.0897199999</c:v>
                </c:pt>
                <c:pt idx="11">
                  <c:v>1041643.7339199999</c:v>
                </c:pt>
                <c:pt idx="12">
                  <c:v>1034188.39208</c:v>
                </c:pt>
                <c:pt idx="13">
                  <c:v>1016636.10122</c:v>
                </c:pt>
                <c:pt idx="14">
                  <c:v>1025313.3565</c:v>
                </c:pt>
                <c:pt idx="15">
                  <c:v>1015750.9128399979</c:v>
                </c:pt>
                <c:pt idx="16">
                  <c:v>1038030.3854399979</c:v>
                </c:pt>
                <c:pt idx="17">
                  <c:v>1054388.618779998</c:v>
                </c:pt>
                <c:pt idx="18">
                  <c:v>1071390.8356399979</c:v>
                </c:pt>
                <c:pt idx="19">
                  <c:v>1067898.653599998</c:v>
                </c:pt>
                <c:pt idx="20">
                  <c:v>1046715.5614399981</c:v>
                </c:pt>
                <c:pt idx="21">
                  <c:v>1062574.8387599981</c:v>
                </c:pt>
                <c:pt idx="22">
                  <c:v>1063435.8940399981</c:v>
                </c:pt>
                <c:pt idx="23">
                  <c:v>1069572.960779998</c:v>
                </c:pt>
                <c:pt idx="24">
                  <c:v>1053793.7612799979</c:v>
                </c:pt>
                <c:pt idx="25">
                  <c:v>1067202.156599998</c:v>
                </c:pt>
                <c:pt idx="26">
                  <c:v>1058006.813459998</c:v>
                </c:pt>
                <c:pt idx="27">
                  <c:v>1083551.8249199982</c:v>
                </c:pt>
                <c:pt idx="28">
                  <c:v>1137311.1325199981</c:v>
                </c:pt>
                <c:pt idx="29">
                  <c:v>1134314.3281799979</c:v>
                </c:pt>
                <c:pt idx="30">
                  <c:v>1119619.207939998</c:v>
                </c:pt>
                <c:pt idx="31">
                  <c:v>1101802.747479998</c:v>
                </c:pt>
                <c:pt idx="32">
                  <c:v>1067645.419659998</c:v>
                </c:pt>
                <c:pt idx="33">
                  <c:v>1077393.1189199979</c:v>
                </c:pt>
                <c:pt idx="34">
                  <c:v>1069975.0056199981</c:v>
                </c:pt>
                <c:pt idx="35">
                  <c:v>1075197.481059998</c:v>
                </c:pt>
                <c:pt idx="36">
                  <c:v>1053319.0205799979</c:v>
                </c:pt>
                <c:pt idx="37">
                  <c:v>1044504.677619998</c:v>
                </c:pt>
                <c:pt idx="38">
                  <c:v>1050188.4892399979</c:v>
                </c:pt>
                <c:pt idx="39">
                  <c:v>1070091.439899998</c:v>
                </c:pt>
                <c:pt idx="40">
                  <c:v>1128121.004899998</c:v>
                </c:pt>
                <c:pt idx="41">
                  <c:v>1109668.2774599981</c:v>
                </c:pt>
                <c:pt idx="42">
                  <c:v>1071841.5990599981</c:v>
                </c:pt>
                <c:pt idx="43">
                  <c:v>1071841.5990599981</c:v>
                </c:pt>
                <c:pt idx="44">
                  <c:v>1071841.5990599981</c:v>
                </c:pt>
                <c:pt idx="45">
                  <c:v>1071841.5990599981</c:v>
                </c:pt>
                <c:pt idx="46">
                  <c:v>1066657.4627599982</c:v>
                </c:pt>
                <c:pt idx="47">
                  <c:v>1060092.587459998</c:v>
                </c:pt>
                <c:pt idx="48">
                  <c:v>1083569.323859998</c:v>
                </c:pt>
                <c:pt idx="49">
                  <c:v>1077883.5331399979</c:v>
                </c:pt>
                <c:pt idx="50">
                  <c:v>1112377.9242799999</c:v>
                </c:pt>
                <c:pt idx="51">
                  <c:v>1079513.2176399999</c:v>
                </c:pt>
                <c:pt idx="52">
                  <c:v>1078024.11176</c:v>
                </c:pt>
                <c:pt idx="53">
                  <c:v>1104894.332079998</c:v>
                </c:pt>
                <c:pt idx="54">
                  <c:v>1117704.1408599981</c:v>
                </c:pt>
                <c:pt idx="55">
                  <c:v>1112678.0391999981</c:v>
                </c:pt>
                <c:pt idx="56">
                  <c:v>1088246.780859998</c:v>
                </c:pt>
                <c:pt idx="57">
                  <c:v>1084410.326519998</c:v>
                </c:pt>
                <c:pt idx="58">
                  <c:v>1044232.1898599981</c:v>
                </c:pt>
                <c:pt idx="59">
                  <c:v>1004444.548879998</c:v>
                </c:pt>
                <c:pt idx="60">
                  <c:v>1005211.754719998</c:v>
                </c:pt>
                <c:pt idx="61">
                  <c:v>1026942.011919998</c:v>
                </c:pt>
                <c:pt idx="62">
                  <c:v>1014970.1795999979</c:v>
                </c:pt>
                <c:pt idx="63">
                  <c:v>1010823.611359998</c:v>
                </c:pt>
                <c:pt idx="64">
                  <c:v>955515.66373999813</c:v>
                </c:pt>
                <c:pt idx="65">
                  <c:v>969673.26347999799</c:v>
                </c:pt>
                <c:pt idx="66">
                  <c:v>997451.768939998</c:v>
                </c:pt>
                <c:pt idx="67">
                  <c:v>998853.99507999793</c:v>
                </c:pt>
                <c:pt idx="68">
                  <c:v>982709.38677999808</c:v>
                </c:pt>
                <c:pt idx="69">
                  <c:v>990752.16699999792</c:v>
                </c:pt>
                <c:pt idx="70">
                  <c:v>990075.72703999805</c:v>
                </c:pt>
                <c:pt idx="71">
                  <c:v>1006573.5965199999</c:v>
                </c:pt>
                <c:pt idx="72">
                  <c:v>993051.66840000008</c:v>
                </c:pt>
                <c:pt idx="73">
                  <c:v>990544.31753999996</c:v>
                </c:pt>
                <c:pt idx="74">
                  <c:v>988983.40651999996</c:v>
                </c:pt>
                <c:pt idx="75">
                  <c:v>1005500.0576199999</c:v>
                </c:pt>
                <c:pt idx="76">
                  <c:v>1005755.02266</c:v>
                </c:pt>
                <c:pt idx="77">
                  <c:v>1003160.12256</c:v>
                </c:pt>
                <c:pt idx="78">
                  <c:v>1006679.34078</c:v>
                </c:pt>
                <c:pt idx="79">
                  <c:v>985337.94016</c:v>
                </c:pt>
                <c:pt idx="80">
                  <c:v>970659.08769999794</c:v>
                </c:pt>
                <c:pt idx="81">
                  <c:v>950561.74965999799</c:v>
                </c:pt>
                <c:pt idx="82">
                  <c:v>961372.66175999807</c:v>
                </c:pt>
                <c:pt idx="83">
                  <c:v>988426.32331999799</c:v>
                </c:pt>
                <c:pt idx="84">
                  <c:v>1051564.873419998</c:v>
                </c:pt>
                <c:pt idx="85">
                  <c:v>1018776.7129599979</c:v>
                </c:pt>
                <c:pt idx="86">
                  <c:v>1033945.240319998</c:v>
                </c:pt>
                <c:pt idx="87">
                  <c:v>1024165.9240199979</c:v>
                </c:pt>
                <c:pt idx="88">
                  <c:v>1007380.7798799981</c:v>
                </c:pt>
                <c:pt idx="89">
                  <c:v>952751.18969999789</c:v>
                </c:pt>
                <c:pt idx="90">
                  <c:v>994974.44421999808</c:v>
                </c:pt>
                <c:pt idx="91">
                  <c:v>928254.97471999808</c:v>
                </c:pt>
                <c:pt idx="92">
                  <c:v>925787.21141999797</c:v>
                </c:pt>
                <c:pt idx="93">
                  <c:v>967798.95239999797</c:v>
                </c:pt>
                <c:pt idx="94">
                  <c:v>970980.26593999809</c:v>
                </c:pt>
                <c:pt idx="95">
                  <c:v>980814.84933999798</c:v>
                </c:pt>
                <c:pt idx="96">
                  <c:v>974037.72979999799</c:v>
                </c:pt>
                <c:pt idx="97">
                  <c:v>976612.95709999802</c:v>
                </c:pt>
                <c:pt idx="98">
                  <c:v>996758.23955999804</c:v>
                </c:pt>
                <c:pt idx="99">
                  <c:v>1022012.558779998</c:v>
                </c:pt>
                <c:pt idx="100">
                  <c:v>1039065.8169999979</c:v>
                </c:pt>
                <c:pt idx="101">
                  <c:v>1039997.357339998</c:v>
                </c:pt>
                <c:pt idx="102">
                  <c:v>1053924.182679998</c:v>
                </c:pt>
                <c:pt idx="103">
                  <c:v>1047178.170879998</c:v>
                </c:pt>
                <c:pt idx="104">
                  <c:v>1067354.6819399982</c:v>
                </c:pt>
                <c:pt idx="105">
                  <c:v>1095809.5046799979</c:v>
                </c:pt>
                <c:pt idx="106">
                  <c:v>1096549.4772199981</c:v>
                </c:pt>
                <c:pt idx="107">
                  <c:v>1100350.5236999979</c:v>
                </c:pt>
                <c:pt idx="108">
                  <c:v>1102858.2269999981</c:v>
                </c:pt>
                <c:pt idx="109">
                  <c:v>1109562.301839998</c:v>
                </c:pt>
                <c:pt idx="110">
                  <c:v>1136360.7549799981</c:v>
                </c:pt>
                <c:pt idx="111">
                  <c:v>1164798.469339998</c:v>
                </c:pt>
                <c:pt idx="112">
                  <c:v>1170717.047499998</c:v>
                </c:pt>
                <c:pt idx="113">
                  <c:v>1202855.8972799978</c:v>
                </c:pt>
                <c:pt idx="114">
                  <c:v>1197384.6333199979</c:v>
                </c:pt>
                <c:pt idx="115">
                  <c:v>1209256.359879998</c:v>
                </c:pt>
                <c:pt idx="116">
                  <c:v>1255004.357059998</c:v>
                </c:pt>
                <c:pt idx="117">
                  <c:v>1281726.0197799981</c:v>
                </c:pt>
                <c:pt idx="118">
                  <c:v>1288137.937059998</c:v>
                </c:pt>
                <c:pt idx="119">
                  <c:v>1286302.9962599981</c:v>
                </c:pt>
                <c:pt idx="120">
                  <c:v>1277942.7210399979</c:v>
                </c:pt>
                <c:pt idx="121">
                  <c:v>1313408.5105399978</c:v>
                </c:pt>
                <c:pt idx="122">
                  <c:v>1312202.417539998</c:v>
                </c:pt>
                <c:pt idx="123">
                  <c:v>1325070.755639998</c:v>
                </c:pt>
                <c:pt idx="124">
                  <c:v>1311374.2211399979</c:v>
                </c:pt>
                <c:pt idx="125">
                  <c:v>1392310.875559998</c:v>
                </c:pt>
                <c:pt idx="126">
                  <c:v>1435104.900639998</c:v>
                </c:pt>
                <c:pt idx="127">
                  <c:v>1431020.2090799981</c:v>
                </c:pt>
                <c:pt idx="128">
                  <c:v>1456638.9809399978</c:v>
                </c:pt>
                <c:pt idx="129">
                  <c:v>1451490.8703799979</c:v>
                </c:pt>
                <c:pt idx="130">
                  <c:v>1443981.540619998</c:v>
                </c:pt>
                <c:pt idx="131">
                  <c:v>1495834.3810599982</c:v>
                </c:pt>
                <c:pt idx="132">
                  <c:v>1539723.708919998</c:v>
                </c:pt>
                <c:pt idx="133">
                  <c:v>1603735.351839998</c:v>
                </c:pt>
                <c:pt idx="134">
                  <c:v>1565596.8849399979</c:v>
                </c:pt>
                <c:pt idx="135">
                  <c:v>1606452.5368999981</c:v>
                </c:pt>
                <c:pt idx="136">
                  <c:v>1638342.898039998</c:v>
                </c:pt>
                <c:pt idx="137">
                  <c:v>1642162.020099998</c:v>
                </c:pt>
                <c:pt idx="138">
                  <c:v>1609349.826819998</c:v>
                </c:pt>
                <c:pt idx="139">
                  <c:v>1574362.487719998</c:v>
                </c:pt>
                <c:pt idx="140">
                  <c:v>1572680.7501799981</c:v>
                </c:pt>
                <c:pt idx="141">
                  <c:v>1580571.609319998</c:v>
                </c:pt>
                <c:pt idx="142">
                  <c:v>1586110.8533399981</c:v>
                </c:pt>
                <c:pt idx="143">
                  <c:v>1585673.676139998</c:v>
                </c:pt>
                <c:pt idx="144">
                  <c:v>1635669.613419998</c:v>
                </c:pt>
                <c:pt idx="145">
                  <c:v>1669883.1430999979</c:v>
                </c:pt>
                <c:pt idx="146">
                  <c:v>1662564.0879599978</c:v>
                </c:pt>
                <c:pt idx="147">
                  <c:v>1698832.8082799979</c:v>
                </c:pt>
                <c:pt idx="148">
                  <c:v>1744631.5098799982</c:v>
                </c:pt>
                <c:pt idx="149">
                  <c:v>1733300.5183999981</c:v>
                </c:pt>
                <c:pt idx="150">
                  <c:v>1758725.0376799977</c:v>
                </c:pt>
                <c:pt idx="151">
                  <c:v>1743560.679739998</c:v>
                </c:pt>
                <c:pt idx="152">
                  <c:v>1741117.4581999979</c:v>
                </c:pt>
                <c:pt idx="153">
                  <c:v>1783993.8675199982</c:v>
                </c:pt>
                <c:pt idx="154">
                  <c:v>1822633.237139998</c:v>
                </c:pt>
                <c:pt idx="155">
                  <c:v>1836497.8959199979</c:v>
                </c:pt>
                <c:pt idx="156">
                  <c:v>1839153.5810599979</c:v>
                </c:pt>
                <c:pt idx="157">
                  <c:v>1904007.0023399978</c:v>
                </c:pt>
                <c:pt idx="158">
                  <c:v>1897393.2164799981</c:v>
                </c:pt>
                <c:pt idx="159">
                  <c:v>1897382.9115999981</c:v>
                </c:pt>
                <c:pt idx="160">
                  <c:v>1886746.8886599981</c:v>
                </c:pt>
                <c:pt idx="161">
                  <c:v>1929096.1390599981</c:v>
                </c:pt>
                <c:pt idx="162">
                  <c:v>1988740.6378599978</c:v>
                </c:pt>
                <c:pt idx="163">
                  <c:v>2013743.05583998</c:v>
                </c:pt>
                <c:pt idx="164">
                  <c:v>2031910.0214999798</c:v>
                </c:pt>
                <c:pt idx="165">
                  <c:v>2027464.0429999798</c:v>
                </c:pt>
                <c:pt idx="166">
                  <c:v>2034293.7227999798</c:v>
                </c:pt>
                <c:pt idx="167">
                  <c:v>2050741.7174199801</c:v>
                </c:pt>
                <c:pt idx="168">
                  <c:v>2087828.5402199801</c:v>
                </c:pt>
                <c:pt idx="169">
                  <c:v>2088435.5494999799</c:v>
                </c:pt>
                <c:pt idx="170">
                  <c:v>2040624.0033399803</c:v>
                </c:pt>
                <c:pt idx="171">
                  <c:v>2043871.6217999801</c:v>
                </c:pt>
                <c:pt idx="172">
                  <c:v>2042597.6950199802</c:v>
                </c:pt>
                <c:pt idx="173">
                  <c:v>2037235.1636399801</c:v>
                </c:pt>
                <c:pt idx="174">
                  <c:v>2014148.9857599798</c:v>
                </c:pt>
                <c:pt idx="175">
                  <c:v>2012820.8511999801</c:v>
                </c:pt>
                <c:pt idx="176">
                  <c:v>2022782.78457998</c:v>
                </c:pt>
                <c:pt idx="177">
                  <c:v>2033310.68553998</c:v>
                </c:pt>
                <c:pt idx="178">
                  <c:v>1990686.7810999961</c:v>
                </c:pt>
                <c:pt idx="179">
                  <c:v>1956356.0294199958</c:v>
                </c:pt>
                <c:pt idx="180">
                  <c:v>1903829.6923399959</c:v>
                </c:pt>
                <c:pt idx="181">
                  <c:v>1902780.0598999958</c:v>
                </c:pt>
                <c:pt idx="182">
                  <c:v>1908042.726019996</c:v>
                </c:pt>
                <c:pt idx="183">
                  <c:v>1932111.3576799959</c:v>
                </c:pt>
                <c:pt idx="184">
                  <c:v>1930691.826739996</c:v>
                </c:pt>
                <c:pt idx="185">
                  <c:v>1899968.9228999962</c:v>
                </c:pt>
                <c:pt idx="186">
                  <c:v>1885574.8035799961</c:v>
                </c:pt>
                <c:pt idx="187">
                  <c:v>1875978.1837999958</c:v>
                </c:pt>
                <c:pt idx="188">
                  <c:v>1900129.9898199961</c:v>
                </c:pt>
                <c:pt idx="189">
                  <c:v>1866368.7986599959</c:v>
                </c:pt>
                <c:pt idx="190">
                  <c:v>1845777.0027999959</c:v>
                </c:pt>
                <c:pt idx="191">
                  <c:v>1875697.5155799959</c:v>
                </c:pt>
                <c:pt idx="192">
                  <c:v>1917179.151039996</c:v>
                </c:pt>
                <c:pt idx="193">
                  <c:v>1910919.7887799959</c:v>
                </c:pt>
                <c:pt idx="194">
                  <c:v>1909810.7796999961</c:v>
                </c:pt>
                <c:pt idx="195">
                  <c:v>1856884.8384999961</c:v>
                </c:pt>
                <c:pt idx="196">
                  <c:v>1869922.6104799961</c:v>
                </c:pt>
                <c:pt idx="197">
                  <c:v>1891675.2933999959</c:v>
                </c:pt>
                <c:pt idx="198">
                  <c:v>1831475.3040199962</c:v>
                </c:pt>
                <c:pt idx="199">
                  <c:v>1799436.5616399958</c:v>
                </c:pt>
                <c:pt idx="200">
                  <c:v>1806376.5906799962</c:v>
                </c:pt>
                <c:pt idx="201">
                  <c:v>1859492.466639996</c:v>
                </c:pt>
                <c:pt idx="202">
                  <c:v>1939010.9317399978</c:v>
                </c:pt>
                <c:pt idx="203">
                  <c:v>1960536.4484599982</c:v>
                </c:pt>
                <c:pt idx="204">
                  <c:v>2013153.8193799802</c:v>
                </c:pt>
                <c:pt idx="205">
                  <c:v>2035731.81983998</c:v>
                </c:pt>
                <c:pt idx="206">
                  <c:v>2049800.4574199799</c:v>
                </c:pt>
                <c:pt idx="207">
                  <c:v>2036571.0396199799</c:v>
                </c:pt>
                <c:pt idx="208">
                  <c:v>2035208.3363399799</c:v>
                </c:pt>
                <c:pt idx="209">
                  <c:v>2039917.3693999802</c:v>
                </c:pt>
                <c:pt idx="210">
                  <c:v>2010494.15413998</c:v>
                </c:pt>
                <c:pt idx="211">
                  <c:v>2052503.88955998</c:v>
                </c:pt>
                <c:pt idx="212">
                  <c:v>2075235.0006599799</c:v>
                </c:pt>
                <c:pt idx="213">
                  <c:v>2040965.3473199799</c:v>
                </c:pt>
                <c:pt idx="214">
                  <c:v>1981456.0849799979</c:v>
                </c:pt>
                <c:pt idx="215">
                  <c:v>1981463.5179999981</c:v>
                </c:pt>
                <c:pt idx="216">
                  <c:v>2061973.9695199798</c:v>
                </c:pt>
                <c:pt idx="217">
                  <c:v>2172077.9835199798</c:v>
                </c:pt>
                <c:pt idx="218">
                  <c:v>2171495.3645599801</c:v>
                </c:pt>
                <c:pt idx="219">
                  <c:v>2239484.51131998</c:v>
                </c:pt>
                <c:pt idx="220">
                  <c:v>2234123.3708199798</c:v>
                </c:pt>
                <c:pt idx="221">
                  <c:v>2209014.9508199799</c:v>
                </c:pt>
                <c:pt idx="222">
                  <c:v>2182008.6542599802</c:v>
                </c:pt>
                <c:pt idx="223">
                  <c:v>2151652.73293998</c:v>
                </c:pt>
                <c:pt idx="224">
                  <c:v>2239100.2790199802</c:v>
                </c:pt>
                <c:pt idx="225">
                  <c:v>2262721.18395998</c:v>
                </c:pt>
                <c:pt idx="226">
                  <c:v>2384652.1107999803</c:v>
                </c:pt>
                <c:pt idx="227">
                  <c:v>2324923.4819799801</c:v>
                </c:pt>
                <c:pt idx="228">
                  <c:v>2413940.01871998</c:v>
                </c:pt>
                <c:pt idx="229">
                  <c:v>2412244.8397599803</c:v>
                </c:pt>
                <c:pt idx="230">
                  <c:v>2435791.9821199803</c:v>
                </c:pt>
                <c:pt idx="231">
                  <c:v>2405002.4026799803</c:v>
                </c:pt>
                <c:pt idx="232">
                  <c:v>2381135.0965799801</c:v>
                </c:pt>
                <c:pt idx="233">
                  <c:v>2394585.7834999799</c:v>
                </c:pt>
                <c:pt idx="234">
                  <c:v>2383271.7968399799</c:v>
                </c:pt>
                <c:pt idx="235">
                  <c:v>2421762.3719199798</c:v>
                </c:pt>
                <c:pt idx="236">
                  <c:v>2414025.3631799798</c:v>
                </c:pt>
                <c:pt idx="237">
                  <c:v>2418232.8985999799</c:v>
                </c:pt>
                <c:pt idx="238">
                  <c:v>2457708.3171399799</c:v>
                </c:pt>
                <c:pt idx="239">
                  <c:v>2414806.58115998</c:v>
                </c:pt>
                <c:pt idx="240">
                  <c:v>2445959.6910599801</c:v>
                </c:pt>
                <c:pt idx="241">
                  <c:v>2471741.0578799797</c:v>
                </c:pt>
                <c:pt idx="242">
                  <c:v>2479146.7769399798</c:v>
                </c:pt>
                <c:pt idx="243">
                  <c:v>2518106.9566799803</c:v>
                </c:pt>
                <c:pt idx="244">
                  <c:v>2494934.6059599798</c:v>
                </c:pt>
                <c:pt idx="245">
                  <c:v>2474475.7764999801</c:v>
                </c:pt>
                <c:pt idx="246">
                  <c:v>2446593.5867399802</c:v>
                </c:pt>
                <c:pt idx="247">
                  <c:v>2484785.4980599796</c:v>
                </c:pt>
                <c:pt idx="248">
                  <c:v>2415351.8425999801</c:v>
                </c:pt>
                <c:pt idx="249">
                  <c:v>2362050.3803399801</c:v>
                </c:pt>
                <c:pt idx="250">
                  <c:v>2370243.7965599801</c:v>
                </c:pt>
                <c:pt idx="251">
                  <c:v>2357299.9088399801</c:v>
                </c:pt>
                <c:pt idx="252">
                  <c:v>2335268.1052199798</c:v>
                </c:pt>
                <c:pt idx="253">
                  <c:v>2295036.23837998</c:v>
                </c:pt>
                <c:pt idx="254">
                  <c:v>2298418.1679799799</c:v>
                </c:pt>
                <c:pt idx="255">
                  <c:v>2323903.0463799802</c:v>
                </c:pt>
                <c:pt idx="256">
                  <c:v>2392744.33005998</c:v>
                </c:pt>
                <c:pt idx="257">
                  <c:v>2384671.2613599799</c:v>
                </c:pt>
                <c:pt idx="258">
                  <c:v>2392415.2602999797</c:v>
                </c:pt>
                <c:pt idx="259">
                  <c:v>2427859.86631998</c:v>
                </c:pt>
                <c:pt idx="260">
                  <c:v>2426691.1017799797</c:v>
                </c:pt>
                <c:pt idx="261">
                  <c:v>2420251.4992799801</c:v>
                </c:pt>
                <c:pt idx="262">
                  <c:v>2464885.7237799801</c:v>
                </c:pt>
                <c:pt idx="263">
                  <c:v>2536640.3194599799</c:v>
                </c:pt>
                <c:pt idx="264">
                  <c:v>2576519.5874399799</c:v>
                </c:pt>
                <c:pt idx="265">
                  <c:v>2607616.8828399801</c:v>
                </c:pt>
                <c:pt idx="266">
                  <c:v>2542647.3967599804</c:v>
                </c:pt>
                <c:pt idx="267">
                  <c:v>2541520.7770199804</c:v>
                </c:pt>
                <c:pt idx="268">
                  <c:v>2521453.9771799799</c:v>
                </c:pt>
                <c:pt idx="269">
                  <c:v>2563346.2623399803</c:v>
                </c:pt>
                <c:pt idx="270">
                  <c:v>2601146.8220799798</c:v>
                </c:pt>
                <c:pt idx="271">
                  <c:v>2589372.8439199803</c:v>
                </c:pt>
                <c:pt idx="272">
                  <c:v>2586124.5154999802</c:v>
                </c:pt>
                <c:pt idx="273">
                  <c:v>2714033.12407998</c:v>
                </c:pt>
                <c:pt idx="274">
                  <c:v>2784030.26119998</c:v>
                </c:pt>
                <c:pt idx="275">
                  <c:v>2814868.3355399799</c:v>
                </c:pt>
                <c:pt idx="276">
                  <c:v>2812606.10684</c:v>
                </c:pt>
                <c:pt idx="277">
                  <c:v>2811150.5674799802</c:v>
                </c:pt>
                <c:pt idx="278">
                  <c:v>2786123.1371599799</c:v>
                </c:pt>
                <c:pt idx="279">
                  <c:v>2749922.0436799796</c:v>
                </c:pt>
                <c:pt idx="280">
                  <c:v>2780019.2168799797</c:v>
                </c:pt>
                <c:pt idx="281">
                  <c:v>2761236.79433998</c:v>
                </c:pt>
                <c:pt idx="282">
                  <c:v>2837975.0153999804</c:v>
                </c:pt>
                <c:pt idx="283">
                  <c:v>2771703.0376999797</c:v>
                </c:pt>
                <c:pt idx="284">
                  <c:v>2782355.12279998</c:v>
                </c:pt>
                <c:pt idx="285">
                  <c:v>2793721.4750199798</c:v>
                </c:pt>
                <c:pt idx="286">
                  <c:v>2772442.9053599802</c:v>
                </c:pt>
                <c:pt idx="287">
                  <c:v>2690474.9764199802</c:v>
                </c:pt>
                <c:pt idx="288">
                  <c:v>2733136.1921599801</c:v>
                </c:pt>
                <c:pt idx="289">
                  <c:v>2786468.7868599799</c:v>
                </c:pt>
                <c:pt idx="290">
                  <c:v>2853952.71807998</c:v>
                </c:pt>
                <c:pt idx="291">
                  <c:v>2873591.4861399801</c:v>
                </c:pt>
                <c:pt idx="292">
                  <c:v>2889714.4020599802</c:v>
                </c:pt>
                <c:pt idx="293">
                  <c:v>2918811.7640599799</c:v>
                </c:pt>
                <c:pt idx="294">
                  <c:v>2909259.75195998</c:v>
                </c:pt>
                <c:pt idx="295">
                  <c:v>2917721.13575998</c:v>
                </c:pt>
                <c:pt idx="296">
                  <c:v>2903379.7302399799</c:v>
                </c:pt>
                <c:pt idx="297">
                  <c:v>2833570.46899998</c:v>
                </c:pt>
                <c:pt idx="298">
                  <c:v>2817738.9823199799</c:v>
                </c:pt>
                <c:pt idx="299">
                  <c:v>2820783.9045599801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7B-43D2-9B4B-D97B48B71BCA}"/>
            </c:ext>
          </c:extLst>
        </c:ser>
        <c:ser>
          <c:idx val="5"/>
          <c:order val="5"/>
          <c:tx>
            <c:strRef>
              <c:f>主板!$J$1</c:f>
              <c:strCache>
                <c:ptCount val="1"/>
                <c:pt idx="0">
                  <c:v>SVM_R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主板!$J$2:$J$301</c:f>
              <c:numCache>
                <c:formatCode>General</c:formatCode>
                <c:ptCount val="300"/>
                <c:pt idx="0">
                  <c:v>1000000</c:v>
                </c:pt>
                <c:pt idx="1">
                  <c:v>1048706.47196</c:v>
                </c:pt>
                <c:pt idx="2">
                  <c:v>1043273.737359998</c:v>
                </c:pt>
                <c:pt idx="3">
                  <c:v>1034094.93356</c:v>
                </c:pt>
                <c:pt idx="4">
                  <c:v>1062417.9424399999</c:v>
                </c:pt>
                <c:pt idx="5">
                  <c:v>1077079.5779599999</c:v>
                </c:pt>
                <c:pt idx="6">
                  <c:v>1102306.52718</c:v>
                </c:pt>
                <c:pt idx="7">
                  <c:v>1085864.4024</c:v>
                </c:pt>
                <c:pt idx="8">
                  <c:v>1091982.40812</c:v>
                </c:pt>
                <c:pt idx="9">
                  <c:v>1044222.46376</c:v>
                </c:pt>
                <c:pt idx="10">
                  <c:v>1051739.0677</c:v>
                </c:pt>
                <c:pt idx="11">
                  <c:v>1053318.730539998</c:v>
                </c:pt>
                <c:pt idx="12">
                  <c:v>1062147.2002000001</c:v>
                </c:pt>
                <c:pt idx="13">
                  <c:v>1086163.0916800001</c:v>
                </c:pt>
                <c:pt idx="14">
                  <c:v>1108720.00556</c:v>
                </c:pt>
                <c:pt idx="15">
                  <c:v>1089820.7632200001</c:v>
                </c:pt>
                <c:pt idx="16">
                  <c:v>1099870.2921800001</c:v>
                </c:pt>
                <c:pt idx="17">
                  <c:v>1118590.54956</c:v>
                </c:pt>
                <c:pt idx="18">
                  <c:v>1146053.9634</c:v>
                </c:pt>
                <c:pt idx="19">
                  <c:v>1125877.9631999999</c:v>
                </c:pt>
                <c:pt idx="20">
                  <c:v>1098013.0518</c:v>
                </c:pt>
                <c:pt idx="21">
                  <c:v>1106016.71352</c:v>
                </c:pt>
                <c:pt idx="22">
                  <c:v>1096834.06314</c:v>
                </c:pt>
                <c:pt idx="23">
                  <c:v>1099103.8648000001</c:v>
                </c:pt>
                <c:pt idx="24">
                  <c:v>1095474.77462</c:v>
                </c:pt>
                <c:pt idx="25">
                  <c:v>1096268.4883999999</c:v>
                </c:pt>
                <c:pt idx="26">
                  <c:v>1086246.73548</c:v>
                </c:pt>
                <c:pt idx="27">
                  <c:v>1136769.6648200001</c:v>
                </c:pt>
                <c:pt idx="28">
                  <c:v>1193356.71746</c:v>
                </c:pt>
                <c:pt idx="29">
                  <c:v>1153525.28134</c:v>
                </c:pt>
                <c:pt idx="30">
                  <c:v>1149474.9119000002</c:v>
                </c:pt>
                <c:pt idx="31">
                  <c:v>1104674.4604199999</c:v>
                </c:pt>
                <c:pt idx="32">
                  <c:v>1088527.3336799999</c:v>
                </c:pt>
                <c:pt idx="33">
                  <c:v>1115481.0315999999</c:v>
                </c:pt>
                <c:pt idx="34">
                  <c:v>1099991.2686600001</c:v>
                </c:pt>
                <c:pt idx="35">
                  <c:v>1123303.8367399999</c:v>
                </c:pt>
                <c:pt idx="36">
                  <c:v>1124766.1817600001</c:v>
                </c:pt>
                <c:pt idx="37">
                  <c:v>1134789.5418799999</c:v>
                </c:pt>
                <c:pt idx="38">
                  <c:v>1154368.46416</c:v>
                </c:pt>
                <c:pt idx="39">
                  <c:v>1158783.24652</c:v>
                </c:pt>
                <c:pt idx="40">
                  <c:v>1156264.1052999999</c:v>
                </c:pt>
                <c:pt idx="41">
                  <c:v>1162470.2199599999</c:v>
                </c:pt>
                <c:pt idx="42">
                  <c:v>1140542.5803999999</c:v>
                </c:pt>
                <c:pt idx="43">
                  <c:v>1140542.5803999999</c:v>
                </c:pt>
                <c:pt idx="44">
                  <c:v>1140542.5803999999</c:v>
                </c:pt>
                <c:pt idx="45">
                  <c:v>1140542.5803999999</c:v>
                </c:pt>
                <c:pt idx="46">
                  <c:v>1132905.3997800001</c:v>
                </c:pt>
                <c:pt idx="47">
                  <c:v>1141922.3274599998</c:v>
                </c:pt>
                <c:pt idx="48">
                  <c:v>1187989.5164399999</c:v>
                </c:pt>
                <c:pt idx="49">
                  <c:v>1194620.69408</c:v>
                </c:pt>
                <c:pt idx="50">
                  <c:v>1218935.6878200001</c:v>
                </c:pt>
                <c:pt idx="51">
                  <c:v>1198780.2034800001</c:v>
                </c:pt>
                <c:pt idx="52">
                  <c:v>1173094.74642</c:v>
                </c:pt>
                <c:pt idx="53">
                  <c:v>1190357.77984</c:v>
                </c:pt>
                <c:pt idx="54">
                  <c:v>1196385.5929400001</c:v>
                </c:pt>
                <c:pt idx="55">
                  <c:v>1211940.382</c:v>
                </c:pt>
                <c:pt idx="56">
                  <c:v>1210731.3144799999</c:v>
                </c:pt>
                <c:pt idx="57">
                  <c:v>1220041.94784</c:v>
                </c:pt>
                <c:pt idx="58">
                  <c:v>1179281.4357799999</c:v>
                </c:pt>
                <c:pt idx="59">
                  <c:v>1134202.9213</c:v>
                </c:pt>
                <c:pt idx="60">
                  <c:v>1129970.5917</c:v>
                </c:pt>
                <c:pt idx="61">
                  <c:v>1141724.37916</c:v>
                </c:pt>
                <c:pt idx="62">
                  <c:v>1149276.74278</c:v>
                </c:pt>
                <c:pt idx="63">
                  <c:v>1112485.8501800001</c:v>
                </c:pt>
                <c:pt idx="64">
                  <c:v>1035501.7799799999</c:v>
                </c:pt>
                <c:pt idx="65">
                  <c:v>1071973.4666200001</c:v>
                </c:pt>
                <c:pt idx="66">
                  <c:v>1088233.9886</c:v>
                </c:pt>
                <c:pt idx="67">
                  <c:v>1076746.8564200001</c:v>
                </c:pt>
                <c:pt idx="68">
                  <c:v>1072716.46802</c:v>
                </c:pt>
                <c:pt idx="69">
                  <c:v>1074112.9065</c:v>
                </c:pt>
                <c:pt idx="70">
                  <c:v>1070802.67132</c:v>
                </c:pt>
                <c:pt idx="71">
                  <c:v>1054846.99966</c:v>
                </c:pt>
                <c:pt idx="72">
                  <c:v>1034892.74734</c:v>
                </c:pt>
                <c:pt idx="73">
                  <c:v>1027217.4860400001</c:v>
                </c:pt>
                <c:pt idx="74">
                  <c:v>1026803.22436</c:v>
                </c:pt>
                <c:pt idx="75">
                  <c:v>1041771.17132</c:v>
                </c:pt>
                <c:pt idx="76">
                  <c:v>1022159.9435599999</c:v>
                </c:pt>
                <c:pt idx="77">
                  <c:v>1017759.68612</c:v>
                </c:pt>
                <c:pt idx="78">
                  <c:v>1037945.9671599999</c:v>
                </c:pt>
                <c:pt idx="79">
                  <c:v>1022993.7276000001</c:v>
                </c:pt>
                <c:pt idx="80">
                  <c:v>1021226.71446</c:v>
                </c:pt>
                <c:pt idx="81">
                  <c:v>1005298.0507200001</c:v>
                </c:pt>
                <c:pt idx="82">
                  <c:v>996564.05047999998</c:v>
                </c:pt>
                <c:pt idx="83">
                  <c:v>969464.38807999995</c:v>
                </c:pt>
                <c:pt idx="84">
                  <c:v>979242.03992000001</c:v>
                </c:pt>
                <c:pt idx="85">
                  <c:v>967679.51424000005</c:v>
                </c:pt>
                <c:pt idx="86">
                  <c:v>978194.48090000008</c:v>
                </c:pt>
                <c:pt idx="87">
                  <c:v>981386.15035999997</c:v>
                </c:pt>
                <c:pt idx="88">
                  <c:v>979859.81454000005</c:v>
                </c:pt>
                <c:pt idx="89">
                  <c:v>940807.94417999999</c:v>
                </c:pt>
                <c:pt idx="90">
                  <c:v>973778.64118000004</c:v>
                </c:pt>
                <c:pt idx="91">
                  <c:v>962146.14727999992</c:v>
                </c:pt>
                <c:pt idx="92">
                  <c:v>945495.29582</c:v>
                </c:pt>
                <c:pt idx="93">
                  <c:v>1003888.34934</c:v>
                </c:pt>
                <c:pt idx="94">
                  <c:v>1018272.34292</c:v>
                </c:pt>
                <c:pt idx="95">
                  <c:v>1080197.4704199999</c:v>
                </c:pt>
                <c:pt idx="96">
                  <c:v>1152744.4966800001</c:v>
                </c:pt>
                <c:pt idx="97">
                  <c:v>1095460.2822400001</c:v>
                </c:pt>
                <c:pt idx="98">
                  <c:v>1084638.04886</c:v>
                </c:pt>
                <c:pt idx="99">
                  <c:v>1129709.16564</c:v>
                </c:pt>
                <c:pt idx="100">
                  <c:v>1147079.36094</c:v>
                </c:pt>
                <c:pt idx="101">
                  <c:v>1145494.2932800001</c:v>
                </c:pt>
                <c:pt idx="102">
                  <c:v>1172375.1209200001</c:v>
                </c:pt>
                <c:pt idx="103">
                  <c:v>1172968.4350400001</c:v>
                </c:pt>
                <c:pt idx="104">
                  <c:v>1172647.93542</c:v>
                </c:pt>
                <c:pt idx="105">
                  <c:v>1170374.5055800001</c:v>
                </c:pt>
                <c:pt idx="106">
                  <c:v>1175131.03908</c:v>
                </c:pt>
                <c:pt idx="107">
                  <c:v>1166263.1870200001</c:v>
                </c:pt>
                <c:pt idx="108">
                  <c:v>1183800.97138</c:v>
                </c:pt>
                <c:pt idx="109">
                  <c:v>1144395.14258</c:v>
                </c:pt>
                <c:pt idx="110">
                  <c:v>1167148.6135800001</c:v>
                </c:pt>
                <c:pt idx="111">
                  <c:v>1165741.9464199999</c:v>
                </c:pt>
                <c:pt idx="112">
                  <c:v>1201111.1637800001</c:v>
                </c:pt>
                <c:pt idx="113">
                  <c:v>1221306.4045600002</c:v>
                </c:pt>
                <c:pt idx="114">
                  <c:v>1228089.9745999998</c:v>
                </c:pt>
                <c:pt idx="115">
                  <c:v>1253904.8518400001</c:v>
                </c:pt>
                <c:pt idx="116">
                  <c:v>1281039.0021199998</c:v>
                </c:pt>
                <c:pt idx="117">
                  <c:v>1336863.9647600001</c:v>
                </c:pt>
                <c:pt idx="118">
                  <c:v>1329405.6804199999</c:v>
                </c:pt>
                <c:pt idx="119">
                  <c:v>1369810.9471400001</c:v>
                </c:pt>
                <c:pt idx="120">
                  <c:v>1331361.1557</c:v>
                </c:pt>
                <c:pt idx="121">
                  <c:v>1377556.554</c:v>
                </c:pt>
                <c:pt idx="122">
                  <c:v>1429689.2798999981</c:v>
                </c:pt>
                <c:pt idx="123">
                  <c:v>1432962.18358</c:v>
                </c:pt>
                <c:pt idx="124">
                  <c:v>1441307.82546</c:v>
                </c:pt>
                <c:pt idx="125">
                  <c:v>1470099.0708599999</c:v>
                </c:pt>
                <c:pt idx="126">
                  <c:v>1457432.8148399999</c:v>
                </c:pt>
                <c:pt idx="127">
                  <c:v>1486882.27844</c:v>
                </c:pt>
                <c:pt idx="128">
                  <c:v>1478515.9505599979</c:v>
                </c:pt>
                <c:pt idx="129">
                  <c:v>1519750.9020599979</c:v>
                </c:pt>
                <c:pt idx="130">
                  <c:v>1501733.59094</c:v>
                </c:pt>
                <c:pt idx="131">
                  <c:v>1559986.2819199979</c:v>
                </c:pt>
                <c:pt idx="132">
                  <c:v>1558984.9321799981</c:v>
                </c:pt>
                <c:pt idx="133">
                  <c:v>1604679.445119998</c:v>
                </c:pt>
                <c:pt idx="134">
                  <c:v>1540608.1368599979</c:v>
                </c:pt>
                <c:pt idx="135">
                  <c:v>1528352.7733599979</c:v>
                </c:pt>
                <c:pt idx="136">
                  <c:v>1547495.2514599981</c:v>
                </c:pt>
                <c:pt idx="137">
                  <c:v>1566607.1111799979</c:v>
                </c:pt>
                <c:pt idx="138">
                  <c:v>1509097.880919998</c:v>
                </c:pt>
                <c:pt idx="139">
                  <c:v>1502187.901099998</c:v>
                </c:pt>
                <c:pt idx="140">
                  <c:v>1491702.130819998</c:v>
                </c:pt>
                <c:pt idx="141">
                  <c:v>1453026.389899998</c:v>
                </c:pt>
                <c:pt idx="142">
                  <c:v>1391152.473619998</c:v>
                </c:pt>
                <c:pt idx="143">
                  <c:v>1387691.582479998</c:v>
                </c:pt>
                <c:pt idx="144">
                  <c:v>1439696.020739998</c:v>
                </c:pt>
                <c:pt idx="145">
                  <c:v>1403321.1120399979</c:v>
                </c:pt>
                <c:pt idx="146">
                  <c:v>1418711.4051399981</c:v>
                </c:pt>
                <c:pt idx="147">
                  <c:v>1432734.267379998</c:v>
                </c:pt>
                <c:pt idx="148">
                  <c:v>1474324.912839998</c:v>
                </c:pt>
                <c:pt idx="149">
                  <c:v>1472465.301039998</c:v>
                </c:pt>
                <c:pt idx="150">
                  <c:v>1429436.958859998</c:v>
                </c:pt>
                <c:pt idx="151">
                  <c:v>1397870.0535599981</c:v>
                </c:pt>
                <c:pt idx="152">
                  <c:v>1395772.2106799982</c:v>
                </c:pt>
                <c:pt idx="153">
                  <c:v>1413783.105899998</c:v>
                </c:pt>
                <c:pt idx="154">
                  <c:v>1462064.7219199981</c:v>
                </c:pt>
                <c:pt idx="155">
                  <c:v>1459009.1835799981</c:v>
                </c:pt>
                <c:pt idx="156">
                  <c:v>1405771.6054199999</c:v>
                </c:pt>
                <c:pt idx="157">
                  <c:v>1469098.8660399981</c:v>
                </c:pt>
                <c:pt idx="158">
                  <c:v>1477867.252239998</c:v>
                </c:pt>
                <c:pt idx="159">
                  <c:v>1461823.7361399981</c:v>
                </c:pt>
                <c:pt idx="160">
                  <c:v>1466236.5998999979</c:v>
                </c:pt>
                <c:pt idx="161">
                  <c:v>1445468.6888199979</c:v>
                </c:pt>
                <c:pt idx="162">
                  <c:v>1452735.4443999981</c:v>
                </c:pt>
                <c:pt idx="163">
                  <c:v>1476633.0044599981</c:v>
                </c:pt>
                <c:pt idx="164">
                  <c:v>1462349.9939399981</c:v>
                </c:pt>
                <c:pt idx="165">
                  <c:v>1470342.063159998</c:v>
                </c:pt>
                <c:pt idx="166">
                  <c:v>1444712.425499998</c:v>
                </c:pt>
                <c:pt idx="167">
                  <c:v>1490455.930139998</c:v>
                </c:pt>
                <c:pt idx="168">
                  <c:v>1546395.2755599979</c:v>
                </c:pt>
                <c:pt idx="169">
                  <c:v>1564701.837099998</c:v>
                </c:pt>
                <c:pt idx="170">
                  <c:v>1520428.987659998</c:v>
                </c:pt>
                <c:pt idx="171">
                  <c:v>1552736.7173399979</c:v>
                </c:pt>
                <c:pt idx="172">
                  <c:v>1537895.6934599981</c:v>
                </c:pt>
                <c:pt idx="173">
                  <c:v>1530793.144159998</c:v>
                </c:pt>
                <c:pt idx="174">
                  <c:v>1509485.4674999979</c:v>
                </c:pt>
                <c:pt idx="175">
                  <c:v>1535524.978299998</c:v>
                </c:pt>
                <c:pt idx="176">
                  <c:v>1592692.760719998</c:v>
                </c:pt>
                <c:pt idx="177">
                  <c:v>1598206.4370399979</c:v>
                </c:pt>
                <c:pt idx="178">
                  <c:v>1585500.7732999981</c:v>
                </c:pt>
                <c:pt idx="179">
                  <c:v>1595838.0004199981</c:v>
                </c:pt>
                <c:pt idx="180">
                  <c:v>1620176.760319998</c:v>
                </c:pt>
                <c:pt idx="181">
                  <c:v>1644377.304619998</c:v>
                </c:pt>
                <c:pt idx="182">
                  <c:v>1689565.2722199981</c:v>
                </c:pt>
                <c:pt idx="183">
                  <c:v>1700409.4580199979</c:v>
                </c:pt>
                <c:pt idx="184">
                  <c:v>1695855.8225199978</c:v>
                </c:pt>
                <c:pt idx="185">
                  <c:v>1692527.7426199981</c:v>
                </c:pt>
                <c:pt idx="186">
                  <c:v>1688621.0153999981</c:v>
                </c:pt>
                <c:pt idx="187">
                  <c:v>1751717.3094199982</c:v>
                </c:pt>
                <c:pt idx="188">
                  <c:v>1706918.7146599977</c:v>
                </c:pt>
                <c:pt idx="189">
                  <c:v>1666619.2757199979</c:v>
                </c:pt>
                <c:pt idx="190">
                  <c:v>1641205.0082799981</c:v>
                </c:pt>
                <c:pt idx="191">
                  <c:v>1658163.986959998</c:v>
                </c:pt>
                <c:pt idx="192">
                  <c:v>1682846.4877399981</c:v>
                </c:pt>
                <c:pt idx="193">
                  <c:v>1654918.397859998</c:v>
                </c:pt>
                <c:pt idx="194">
                  <c:v>1679784.9711399979</c:v>
                </c:pt>
                <c:pt idx="195">
                  <c:v>1614752.164919998</c:v>
                </c:pt>
                <c:pt idx="196">
                  <c:v>1601025.379479998</c:v>
                </c:pt>
                <c:pt idx="197">
                  <c:v>1622218.7016799981</c:v>
                </c:pt>
                <c:pt idx="198">
                  <c:v>1578904.9267999982</c:v>
                </c:pt>
                <c:pt idx="199">
                  <c:v>1546259.2420799979</c:v>
                </c:pt>
                <c:pt idx="200">
                  <c:v>1543995.410179998</c:v>
                </c:pt>
                <c:pt idx="201">
                  <c:v>1549089.728519998</c:v>
                </c:pt>
                <c:pt idx="202">
                  <c:v>1570170.3710799981</c:v>
                </c:pt>
                <c:pt idx="203">
                  <c:v>1563944.2846799982</c:v>
                </c:pt>
                <c:pt idx="204">
                  <c:v>1596381.828779998</c:v>
                </c:pt>
                <c:pt idx="205">
                  <c:v>1570986.6863399982</c:v>
                </c:pt>
                <c:pt idx="206">
                  <c:v>1579829.7495399979</c:v>
                </c:pt>
                <c:pt idx="207">
                  <c:v>1543669.3051199981</c:v>
                </c:pt>
                <c:pt idx="208">
                  <c:v>1526359.625499998</c:v>
                </c:pt>
                <c:pt idx="209">
                  <c:v>1522236.3352999981</c:v>
                </c:pt>
                <c:pt idx="210">
                  <c:v>1530611.2173999981</c:v>
                </c:pt>
                <c:pt idx="211">
                  <c:v>1544268.9045999979</c:v>
                </c:pt>
                <c:pt idx="212">
                  <c:v>1579064.731119998</c:v>
                </c:pt>
                <c:pt idx="213">
                  <c:v>1592343.3111199981</c:v>
                </c:pt>
                <c:pt idx="214">
                  <c:v>1512937.3468399979</c:v>
                </c:pt>
                <c:pt idx="215">
                  <c:v>1485052.3223999981</c:v>
                </c:pt>
                <c:pt idx="216">
                  <c:v>1533975.8244199981</c:v>
                </c:pt>
                <c:pt idx="217">
                  <c:v>1540199.0175799981</c:v>
                </c:pt>
                <c:pt idx="218">
                  <c:v>1546333.4852199978</c:v>
                </c:pt>
                <c:pt idx="219">
                  <c:v>1596530.970259998</c:v>
                </c:pt>
                <c:pt idx="220">
                  <c:v>1587500.850179998</c:v>
                </c:pt>
                <c:pt idx="221">
                  <c:v>1587220.840399998</c:v>
                </c:pt>
                <c:pt idx="222">
                  <c:v>1551637.5885799979</c:v>
                </c:pt>
                <c:pt idx="223">
                  <c:v>1495523.9902999981</c:v>
                </c:pt>
                <c:pt idx="224">
                  <c:v>1512654.025059998</c:v>
                </c:pt>
                <c:pt idx="225">
                  <c:v>1522053.022919998</c:v>
                </c:pt>
                <c:pt idx="226">
                  <c:v>1557633.7303999981</c:v>
                </c:pt>
                <c:pt idx="227">
                  <c:v>1592133.268699998</c:v>
                </c:pt>
                <c:pt idx="228">
                  <c:v>1672864.885499998</c:v>
                </c:pt>
                <c:pt idx="229">
                  <c:v>1707308.9422799977</c:v>
                </c:pt>
                <c:pt idx="230">
                  <c:v>1687686.9476799979</c:v>
                </c:pt>
                <c:pt idx="231">
                  <c:v>1627368.0987599981</c:v>
                </c:pt>
                <c:pt idx="232">
                  <c:v>1614584.9728199979</c:v>
                </c:pt>
                <c:pt idx="233">
                  <c:v>1651183.2720799982</c:v>
                </c:pt>
                <c:pt idx="234">
                  <c:v>1694956.122719998</c:v>
                </c:pt>
                <c:pt idx="235">
                  <c:v>1703411.315719998</c:v>
                </c:pt>
                <c:pt idx="236">
                  <c:v>1696564.4352799982</c:v>
                </c:pt>
                <c:pt idx="237">
                  <c:v>1632779.576979998</c:v>
                </c:pt>
                <c:pt idx="238">
                  <c:v>1612289.9732399979</c:v>
                </c:pt>
                <c:pt idx="239">
                  <c:v>1615058.987319998</c:v>
                </c:pt>
                <c:pt idx="240">
                  <c:v>1625503.463019998</c:v>
                </c:pt>
                <c:pt idx="241">
                  <c:v>1624730.184699998</c:v>
                </c:pt>
                <c:pt idx="242">
                  <c:v>1628786.7163599979</c:v>
                </c:pt>
                <c:pt idx="243">
                  <c:v>1635383.838599998</c:v>
                </c:pt>
                <c:pt idx="244">
                  <c:v>1611679.5723199979</c:v>
                </c:pt>
                <c:pt idx="245">
                  <c:v>1617297.424879998</c:v>
                </c:pt>
                <c:pt idx="246">
                  <c:v>1598397.253339998</c:v>
                </c:pt>
                <c:pt idx="247">
                  <c:v>1626230.4654999981</c:v>
                </c:pt>
                <c:pt idx="248">
                  <c:v>1629673.293499998</c:v>
                </c:pt>
                <c:pt idx="249">
                  <c:v>1598838.2822599979</c:v>
                </c:pt>
                <c:pt idx="250">
                  <c:v>1566146.4802999981</c:v>
                </c:pt>
                <c:pt idx="251">
                  <c:v>1551249.7478599981</c:v>
                </c:pt>
                <c:pt idx="252">
                  <c:v>1539833.169259998</c:v>
                </c:pt>
                <c:pt idx="253">
                  <c:v>1501711.4277799982</c:v>
                </c:pt>
                <c:pt idx="254">
                  <c:v>1476189.993679998</c:v>
                </c:pt>
                <c:pt idx="255">
                  <c:v>1506225.772879998</c:v>
                </c:pt>
                <c:pt idx="256">
                  <c:v>1547862.893139998</c:v>
                </c:pt>
                <c:pt idx="257">
                  <c:v>1562078.290979998</c:v>
                </c:pt>
                <c:pt idx="258">
                  <c:v>1569667.9244999981</c:v>
                </c:pt>
                <c:pt idx="259">
                  <c:v>1568554.652259998</c:v>
                </c:pt>
                <c:pt idx="260">
                  <c:v>1602050.286279998</c:v>
                </c:pt>
                <c:pt idx="261">
                  <c:v>1597602.224179998</c:v>
                </c:pt>
                <c:pt idx="262">
                  <c:v>1627950.2921999979</c:v>
                </c:pt>
                <c:pt idx="263">
                  <c:v>1666049.370419998</c:v>
                </c:pt>
                <c:pt idx="264">
                  <c:v>1656047.9672799981</c:v>
                </c:pt>
                <c:pt idx="265">
                  <c:v>1687394.8842399982</c:v>
                </c:pt>
                <c:pt idx="266">
                  <c:v>1670483.9132799979</c:v>
                </c:pt>
                <c:pt idx="267">
                  <c:v>1668106.835939998</c:v>
                </c:pt>
                <c:pt idx="268">
                  <c:v>1658676.445059998</c:v>
                </c:pt>
                <c:pt idx="269">
                  <c:v>1677167.365259998</c:v>
                </c:pt>
                <c:pt idx="270">
                  <c:v>1704330.992399998</c:v>
                </c:pt>
                <c:pt idx="271">
                  <c:v>1682920.273559998</c:v>
                </c:pt>
                <c:pt idx="272">
                  <c:v>1676606.7693199979</c:v>
                </c:pt>
                <c:pt idx="273">
                  <c:v>1652538.0607599979</c:v>
                </c:pt>
                <c:pt idx="274">
                  <c:v>1641905.4869999981</c:v>
                </c:pt>
                <c:pt idx="275">
                  <c:v>1655337.8656999979</c:v>
                </c:pt>
                <c:pt idx="276">
                  <c:v>1701664.2850799982</c:v>
                </c:pt>
                <c:pt idx="277">
                  <c:v>1746861.2892199978</c:v>
                </c:pt>
                <c:pt idx="278">
                  <c:v>1725148.718459998</c:v>
                </c:pt>
                <c:pt idx="279">
                  <c:v>1691958.8844199982</c:v>
                </c:pt>
                <c:pt idx="280">
                  <c:v>1718205.9715599981</c:v>
                </c:pt>
                <c:pt idx="281">
                  <c:v>1703244.067619998</c:v>
                </c:pt>
                <c:pt idx="282">
                  <c:v>1737267.254899998</c:v>
                </c:pt>
                <c:pt idx="283">
                  <c:v>1697284.289799998</c:v>
                </c:pt>
                <c:pt idx="284">
                  <c:v>1718493.427539998</c:v>
                </c:pt>
                <c:pt idx="285">
                  <c:v>1714941.7246999978</c:v>
                </c:pt>
                <c:pt idx="286">
                  <c:v>1755690.85678</c:v>
                </c:pt>
                <c:pt idx="287">
                  <c:v>1760727.0969799999</c:v>
                </c:pt>
                <c:pt idx="288">
                  <c:v>1765636.4939599999</c:v>
                </c:pt>
                <c:pt idx="289">
                  <c:v>1776781.7259399998</c:v>
                </c:pt>
                <c:pt idx="290">
                  <c:v>1799585.8650600002</c:v>
                </c:pt>
                <c:pt idx="291">
                  <c:v>1810216.4915399998</c:v>
                </c:pt>
                <c:pt idx="292">
                  <c:v>1781753.99762</c:v>
                </c:pt>
                <c:pt idx="293">
                  <c:v>1803957.1126200003</c:v>
                </c:pt>
                <c:pt idx="294">
                  <c:v>1776375.3171000001</c:v>
                </c:pt>
                <c:pt idx="295">
                  <c:v>1789104.27174</c:v>
                </c:pt>
                <c:pt idx="296">
                  <c:v>1788697.0317800001</c:v>
                </c:pt>
                <c:pt idx="297">
                  <c:v>1747408.4642400001</c:v>
                </c:pt>
                <c:pt idx="298">
                  <c:v>1735973.92848</c:v>
                </c:pt>
                <c:pt idx="299">
                  <c:v>1772505.31816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7B-43D2-9B4B-D97B48B71BCA}"/>
            </c:ext>
          </c:extLst>
        </c:ser>
        <c:ser>
          <c:idx val="6"/>
          <c:order val="6"/>
          <c:tx>
            <c:strRef>
              <c:f>主板!$K$1</c:f>
              <c:strCache>
                <c:ptCount val="1"/>
                <c:pt idx="0">
                  <c:v>XGBoost_R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主板!$K$2:$K$301</c:f>
              <c:numCache>
                <c:formatCode>General</c:formatCode>
                <c:ptCount val="300"/>
                <c:pt idx="0">
                  <c:v>1000000</c:v>
                </c:pt>
                <c:pt idx="1">
                  <c:v>1014454.434719998</c:v>
                </c:pt>
                <c:pt idx="2">
                  <c:v>1006442.6396999999</c:v>
                </c:pt>
                <c:pt idx="3">
                  <c:v>1048568.7098</c:v>
                </c:pt>
                <c:pt idx="4">
                  <c:v>1051388.6135399998</c:v>
                </c:pt>
                <c:pt idx="5">
                  <c:v>1058083.83482</c:v>
                </c:pt>
                <c:pt idx="6">
                  <c:v>1087231.36338</c:v>
                </c:pt>
                <c:pt idx="7">
                  <c:v>1082799.91802</c:v>
                </c:pt>
                <c:pt idx="8">
                  <c:v>1074086.0901799998</c:v>
                </c:pt>
                <c:pt idx="9">
                  <c:v>1061941.3361</c:v>
                </c:pt>
                <c:pt idx="10">
                  <c:v>1080167.4393799999</c:v>
                </c:pt>
                <c:pt idx="11">
                  <c:v>1089222.07174</c:v>
                </c:pt>
                <c:pt idx="12">
                  <c:v>1125143.87216</c:v>
                </c:pt>
                <c:pt idx="13">
                  <c:v>1140780.49138</c:v>
                </c:pt>
                <c:pt idx="14">
                  <c:v>1134649.5640199981</c:v>
                </c:pt>
                <c:pt idx="15">
                  <c:v>1122444.8014599981</c:v>
                </c:pt>
                <c:pt idx="16">
                  <c:v>1132859.760719998</c:v>
                </c:pt>
                <c:pt idx="17">
                  <c:v>1140804.4389599981</c:v>
                </c:pt>
                <c:pt idx="18">
                  <c:v>1126490.769519998</c:v>
                </c:pt>
                <c:pt idx="19">
                  <c:v>1098910.8332199981</c:v>
                </c:pt>
                <c:pt idx="20">
                  <c:v>1073844.1837599981</c:v>
                </c:pt>
                <c:pt idx="21">
                  <c:v>1099719.002919998</c:v>
                </c:pt>
                <c:pt idx="22">
                  <c:v>1085089.141099998</c:v>
                </c:pt>
                <c:pt idx="23">
                  <c:v>1078264.584559998</c:v>
                </c:pt>
                <c:pt idx="24">
                  <c:v>1059975.916499998</c:v>
                </c:pt>
                <c:pt idx="25">
                  <c:v>1082199.7649799981</c:v>
                </c:pt>
                <c:pt idx="26">
                  <c:v>1055667.063799998</c:v>
                </c:pt>
                <c:pt idx="27">
                  <c:v>1054003.5230599982</c:v>
                </c:pt>
                <c:pt idx="28">
                  <c:v>1096583.0179399981</c:v>
                </c:pt>
                <c:pt idx="29">
                  <c:v>1101693.6615599981</c:v>
                </c:pt>
                <c:pt idx="30">
                  <c:v>1078021.7430199981</c:v>
                </c:pt>
                <c:pt idx="31">
                  <c:v>1040188.2875399981</c:v>
                </c:pt>
                <c:pt idx="32">
                  <c:v>999462.98141999799</c:v>
                </c:pt>
                <c:pt idx="33">
                  <c:v>1009333.0103999979</c:v>
                </c:pt>
                <c:pt idx="34">
                  <c:v>966407.74125999806</c:v>
                </c:pt>
                <c:pt idx="35">
                  <c:v>965512.98633999808</c:v>
                </c:pt>
                <c:pt idx="36">
                  <c:v>944682.26345999795</c:v>
                </c:pt>
                <c:pt idx="37">
                  <c:v>931397.19383999798</c:v>
                </c:pt>
                <c:pt idx="38">
                  <c:v>917100.92171999789</c:v>
                </c:pt>
                <c:pt idx="39">
                  <c:v>943994.81975999789</c:v>
                </c:pt>
                <c:pt idx="40">
                  <c:v>972267.99583999789</c:v>
                </c:pt>
                <c:pt idx="41">
                  <c:v>956608.85003999807</c:v>
                </c:pt>
                <c:pt idx="42">
                  <c:v>935125.90803999803</c:v>
                </c:pt>
                <c:pt idx="43">
                  <c:v>935125.90803999803</c:v>
                </c:pt>
                <c:pt idx="44">
                  <c:v>935125.90803999803</c:v>
                </c:pt>
                <c:pt idx="45">
                  <c:v>935125.90803999803</c:v>
                </c:pt>
                <c:pt idx="46">
                  <c:v>937445.34001999791</c:v>
                </c:pt>
                <c:pt idx="47">
                  <c:v>934762.19839999801</c:v>
                </c:pt>
                <c:pt idx="48">
                  <c:v>929184.10039999802</c:v>
                </c:pt>
                <c:pt idx="49">
                  <c:v>926140.23675999814</c:v>
                </c:pt>
                <c:pt idx="50">
                  <c:v>966088.24173999799</c:v>
                </c:pt>
                <c:pt idx="51">
                  <c:v>956379.67229999811</c:v>
                </c:pt>
                <c:pt idx="52">
                  <c:v>967447.38863999804</c:v>
                </c:pt>
                <c:pt idx="53">
                  <c:v>988811.46829999797</c:v>
                </c:pt>
                <c:pt idx="54">
                  <c:v>1010732.787699998</c:v>
                </c:pt>
                <c:pt idx="55">
                  <c:v>1010416.6736399981</c:v>
                </c:pt>
                <c:pt idx="56">
                  <c:v>996069.37531999801</c:v>
                </c:pt>
                <c:pt idx="57">
                  <c:v>986085.58559999801</c:v>
                </c:pt>
                <c:pt idx="58">
                  <c:v>962022.56671999802</c:v>
                </c:pt>
                <c:pt idx="59">
                  <c:v>914949.55703999789</c:v>
                </c:pt>
                <c:pt idx="60">
                  <c:v>908733.9597599979</c:v>
                </c:pt>
                <c:pt idx="61">
                  <c:v>935296.8771199981</c:v>
                </c:pt>
                <c:pt idx="62">
                  <c:v>932324.44301999803</c:v>
                </c:pt>
                <c:pt idx="63">
                  <c:v>919364.45665999805</c:v>
                </c:pt>
                <c:pt idx="64">
                  <c:v>870702.02280000004</c:v>
                </c:pt>
                <c:pt idx="65">
                  <c:v>905675.70297999994</c:v>
                </c:pt>
                <c:pt idx="66">
                  <c:v>925200.41362000001</c:v>
                </c:pt>
                <c:pt idx="67">
                  <c:v>926232.85031999997</c:v>
                </c:pt>
                <c:pt idx="68">
                  <c:v>900895.6703</c:v>
                </c:pt>
                <c:pt idx="69">
                  <c:v>905212.22141999996</c:v>
                </c:pt>
                <c:pt idx="70">
                  <c:v>902736.52378000005</c:v>
                </c:pt>
                <c:pt idx="71">
                  <c:v>896898.58706000005</c:v>
                </c:pt>
                <c:pt idx="72">
                  <c:v>864014.21745999996</c:v>
                </c:pt>
                <c:pt idx="73">
                  <c:v>857980.64587999997</c:v>
                </c:pt>
                <c:pt idx="74">
                  <c:v>853343.9185599999</c:v>
                </c:pt>
                <c:pt idx="75">
                  <c:v>869704.28205999988</c:v>
                </c:pt>
                <c:pt idx="76">
                  <c:v>873713.91520000005</c:v>
                </c:pt>
                <c:pt idx="77">
                  <c:v>872719.2352600001</c:v>
                </c:pt>
                <c:pt idx="78">
                  <c:v>878649.00600000005</c:v>
                </c:pt>
                <c:pt idx="79">
                  <c:v>850267.95588000002</c:v>
                </c:pt>
                <c:pt idx="80">
                  <c:v>862042.01397999993</c:v>
                </c:pt>
                <c:pt idx="81">
                  <c:v>811766.18213999993</c:v>
                </c:pt>
                <c:pt idx="82">
                  <c:v>817070.00878000003</c:v>
                </c:pt>
                <c:pt idx="83">
                  <c:v>793208.24400000006</c:v>
                </c:pt>
                <c:pt idx="84">
                  <c:v>830617.62291999999</c:v>
                </c:pt>
                <c:pt idx="85">
                  <c:v>810718.84570000006</c:v>
                </c:pt>
                <c:pt idx="86">
                  <c:v>807208.5625</c:v>
                </c:pt>
                <c:pt idx="87">
                  <c:v>807297.28222000005</c:v>
                </c:pt>
                <c:pt idx="88">
                  <c:v>783713.27658000006</c:v>
                </c:pt>
                <c:pt idx="89">
                  <c:v>772566.01743999997</c:v>
                </c:pt>
                <c:pt idx="90">
                  <c:v>811793.34886000003</c:v>
                </c:pt>
                <c:pt idx="91">
                  <c:v>775725.87774000003</c:v>
                </c:pt>
                <c:pt idx="92">
                  <c:v>742886.14983999997</c:v>
                </c:pt>
                <c:pt idx="93">
                  <c:v>766646.99927999999</c:v>
                </c:pt>
                <c:pt idx="94">
                  <c:v>783388.49106000003</c:v>
                </c:pt>
                <c:pt idx="95">
                  <c:v>826300.63907999999</c:v>
                </c:pt>
                <c:pt idx="96">
                  <c:v>870383.52831999992</c:v>
                </c:pt>
                <c:pt idx="97">
                  <c:v>888572.30649999995</c:v>
                </c:pt>
                <c:pt idx="98">
                  <c:v>891308.21708000009</c:v>
                </c:pt>
                <c:pt idx="99">
                  <c:v>894252.13144000003</c:v>
                </c:pt>
                <c:pt idx="100">
                  <c:v>887454.3113399999</c:v>
                </c:pt>
                <c:pt idx="101">
                  <c:v>887167.69551999995</c:v>
                </c:pt>
                <c:pt idx="102">
                  <c:v>892786.89600000007</c:v>
                </c:pt>
                <c:pt idx="103">
                  <c:v>893809.13320000004</c:v>
                </c:pt>
                <c:pt idx="104">
                  <c:v>883616.91520000005</c:v>
                </c:pt>
                <c:pt idx="105">
                  <c:v>865885.30045999994</c:v>
                </c:pt>
                <c:pt idx="106">
                  <c:v>854763.86828000005</c:v>
                </c:pt>
                <c:pt idx="107">
                  <c:v>863912.08433999994</c:v>
                </c:pt>
                <c:pt idx="108">
                  <c:v>873601.0051999999</c:v>
                </c:pt>
                <c:pt idx="109">
                  <c:v>870232.41994000005</c:v>
                </c:pt>
                <c:pt idx="110">
                  <c:v>885298.57207999995</c:v>
                </c:pt>
                <c:pt idx="111">
                  <c:v>893164.2161800001</c:v>
                </c:pt>
                <c:pt idx="112">
                  <c:v>914631.78046000004</c:v>
                </c:pt>
                <c:pt idx="113">
                  <c:v>928249.36728000012</c:v>
                </c:pt>
                <c:pt idx="114">
                  <c:v>937999.68636000005</c:v>
                </c:pt>
                <c:pt idx="115">
                  <c:v>947545.71432000003</c:v>
                </c:pt>
                <c:pt idx="116">
                  <c:v>939231.98022000003</c:v>
                </c:pt>
                <c:pt idx="117">
                  <c:v>970119.28169999993</c:v>
                </c:pt>
                <c:pt idx="118">
                  <c:v>985640.1067</c:v>
                </c:pt>
                <c:pt idx="119">
                  <c:v>986023.06696000008</c:v>
                </c:pt>
                <c:pt idx="120">
                  <c:v>967851.12192000006</c:v>
                </c:pt>
                <c:pt idx="121">
                  <c:v>990508.11874000006</c:v>
                </c:pt>
                <c:pt idx="122">
                  <c:v>1025804.9368</c:v>
                </c:pt>
                <c:pt idx="123">
                  <c:v>1051317.30852</c:v>
                </c:pt>
                <c:pt idx="124">
                  <c:v>1079210.9769600001</c:v>
                </c:pt>
                <c:pt idx="125">
                  <c:v>1105649.7663400001</c:v>
                </c:pt>
                <c:pt idx="126">
                  <c:v>1126321.34238</c:v>
                </c:pt>
                <c:pt idx="127">
                  <c:v>1137725.76238</c:v>
                </c:pt>
                <c:pt idx="128">
                  <c:v>1153792.2789400001</c:v>
                </c:pt>
                <c:pt idx="129">
                  <c:v>1166861.60448</c:v>
                </c:pt>
                <c:pt idx="130">
                  <c:v>1180595.5178799999</c:v>
                </c:pt>
                <c:pt idx="131">
                  <c:v>1235107.15386</c:v>
                </c:pt>
                <c:pt idx="132">
                  <c:v>1236839.3909800001</c:v>
                </c:pt>
                <c:pt idx="133">
                  <c:v>1272032.9917199998</c:v>
                </c:pt>
                <c:pt idx="134">
                  <c:v>1234400.41408</c:v>
                </c:pt>
                <c:pt idx="135">
                  <c:v>1254501.5528599999</c:v>
                </c:pt>
                <c:pt idx="136">
                  <c:v>1267275.0129799999</c:v>
                </c:pt>
                <c:pt idx="137">
                  <c:v>1315711.7521199998</c:v>
                </c:pt>
                <c:pt idx="138">
                  <c:v>1288212.6082200001</c:v>
                </c:pt>
                <c:pt idx="139">
                  <c:v>1258624.0348200002</c:v>
                </c:pt>
                <c:pt idx="140">
                  <c:v>1258435.58898</c:v>
                </c:pt>
                <c:pt idx="141">
                  <c:v>1284172.76764</c:v>
                </c:pt>
                <c:pt idx="142">
                  <c:v>1274955.07806</c:v>
                </c:pt>
                <c:pt idx="143">
                  <c:v>1268160.1636600001</c:v>
                </c:pt>
                <c:pt idx="144">
                  <c:v>1312444.7951</c:v>
                </c:pt>
                <c:pt idx="145">
                  <c:v>1320773.8647</c:v>
                </c:pt>
                <c:pt idx="146">
                  <c:v>1376046.9701</c:v>
                </c:pt>
                <c:pt idx="147">
                  <c:v>1367487.63054</c:v>
                </c:pt>
                <c:pt idx="148">
                  <c:v>1429889.4336600001</c:v>
                </c:pt>
                <c:pt idx="149">
                  <c:v>1462095.4619</c:v>
                </c:pt>
                <c:pt idx="150">
                  <c:v>1478498.7575999999</c:v>
                </c:pt>
                <c:pt idx="151">
                  <c:v>1475299.8209599999</c:v>
                </c:pt>
                <c:pt idx="152">
                  <c:v>1475477.7405400001</c:v>
                </c:pt>
                <c:pt idx="153">
                  <c:v>1509552.77342</c:v>
                </c:pt>
                <c:pt idx="154">
                  <c:v>1550224.5771600001</c:v>
                </c:pt>
                <c:pt idx="155">
                  <c:v>1588091.3458799999</c:v>
                </c:pt>
                <c:pt idx="156">
                  <c:v>1568716.9371400001</c:v>
                </c:pt>
                <c:pt idx="157">
                  <c:v>1630329.3621999999</c:v>
                </c:pt>
                <c:pt idx="158">
                  <c:v>1630700.5428200001</c:v>
                </c:pt>
                <c:pt idx="159">
                  <c:v>1626040.7274800001</c:v>
                </c:pt>
                <c:pt idx="160">
                  <c:v>1682326.7819200002</c:v>
                </c:pt>
                <c:pt idx="161">
                  <c:v>1718908.93768</c:v>
                </c:pt>
                <c:pt idx="162">
                  <c:v>1762431.4847199998</c:v>
                </c:pt>
                <c:pt idx="163">
                  <c:v>1763368.6396400002</c:v>
                </c:pt>
                <c:pt idx="164">
                  <c:v>1738471.2975400002</c:v>
                </c:pt>
                <c:pt idx="165">
                  <c:v>1706941.7616000001</c:v>
                </c:pt>
                <c:pt idx="166">
                  <c:v>1670780.99016</c:v>
                </c:pt>
                <c:pt idx="167">
                  <c:v>1670997.0609599999</c:v>
                </c:pt>
                <c:pt idx="168">
                  <c:v>1664146.48808</c:v>
                </c:pt>
                <c:pt idx="169">
                  <c:v>1685508.4527399999</c:v>
                </c:pt>
                <c:pt idx="170">
                  <c:v>1737311.4393800001</c:v>
                </c:pt>
                <c:pt idx="171">
                  <c:v>1742599.8308400002</c:v>
                </c:pt>
                <c:pt idx="172">
                  <c:v>1779209.6567000002</c:v>
                </c:pt>
                <c:pt idx="173">
                  <c:v>1787644.92826</c:v>
                </c:pt>
                <c:pt idx="174">
                  <c:v>1715522.5115200002</c:v>
                </c:pt>
                <c:pt idx="175">
                  <c:v>1717994.1368400001</c:v>
                </c:pt>
                <c:pt idx="176">
                  <c:v>1730942.66976</c:v>
                </c:pt>
                <c:pt idx="177">
                  <c:v>1787720.1441799998</c:v>
                </c:pt>
                <c:pt idx="178">
                  <c:v>1745972.8254799999</c:v>
                </c:pt>
                <c:pt idx="179">
                  <c:v>1721692.95838</c:v>
                </c:pt>
                <c:pt idx="180">
                  <c:v>1788764.8839000002</c:v>
                </c:pt>
                <c:pt idx="181">
                  <c:v>1798676.5543200001</c:v>
                </c:pt>
                <c:pt idx="182">
                  <c:v>1777877.5158799998</c:v>
                </c:pt>
                <c:pt idx="183">
                  <c:v>1828651.1219000001</c:v>
                </c:pt>
                <c:pt idx="184">
                  <c:v>1850370.5510000002</c:v>
                </c:pt>
                <c:pt idx="185">
                  <c:v>1853438.0472600001</c:v>
                </c:pt>
                <c:pt idx="186">
                  <c:v>1848495.9013799999</c:v>
                </c:pt>
                <c:pt idx="187">
                  <c:v>1896531.70896</c:v>
                </c:pt>
                <c:pt idx="188">
                  <c:v>1882909.0560600001</c:v>
                </c:pt>
                <c:pt idx="189">
                  <c:v>1836327.0019799999</c:v>
                </c:pt>
                <c:pt idx="190">
                  <c:v>1840204.4564</c:v>
                </c:pt>
                <c:pt idx="191">
                  <c:v>1839589.0435800001</c:v>
                </c:pt>
                <c:pt idx="192">
                  <c:v>1830517.5267</c:v>
                </c:pt>
                <c:pt idx="193">
                  <c:v>1773778.6969000001</c:v>
                </c:pt>
                <c:pt idx="194">
                  <c:v>1815576.1176600002</c:v>
                </c:pt>
                <c:pt idx="195">
                  <c:v>1736149.9464000002</c:v>
                </c:pt>
                <c:pt idx="196">
                  <c:v>1723936.3418200002</c:v>
                </c:pt>
                <c:pt idx="197">
                  <c:v>1726564.7751200001</c:v>
                </c:pt>
                <c:pt idx="198">
                  <c:v>1701947.1510200002</c:v>
                </c:pt>
                <c:pt idx="199">
                  <c:v>1726181.595</c:v>
                </c:pt>
                <c:pt idx="200">
                  <c:v>1720354.3414400001</c:v>
                </c:pt>
                <c:pt idx="201">
                  <c:v>1776247.46716</c:v>
                </c:pt>
                <c:pt idx="202">
                  <c:v>1797363.0343800001</c:v>
                </c:pt>
                <c:pt idx="203">
                  <c:v>1801427.4934799999</c:v>
                </c:pt>
                <c:pt idx="204">
                  <c:v>1834990.50966</c:v>
                </c:pt>
                <c:pt idx="205">
                  <c:v>1821285.0550200001</c:v>
                </c:pt>
                <c:pt idx="206">
                  <c:v>1869391.3918999999</c:v>
                </c:pt>
                <c:pt idx="207">
                  <c:v>1841801.7134799999</c:v>
                </c:pt>
                <c:pt idx="208">
                  <c:v>1845786.1534800001</c:v>
                </c:pt>
                <c:pt idx="209">
                  <c:v>1842175.35916</c:v>
                </c:pt>
                <c:pt idx="210">
                  <c:v>1866177.5139199998</c:v>
                </c:pt>
                <c:pt idx="211">
                  <c:v>1821025.3095</c:v>
                </c:pt>
                <c:pt idx="212">
                  <c:v>1836566.32858</c:v>
                </c:pt>
                <c:pt idx="213">
                  <c:v>1778143.0460399999</c:v>
                </c:pt>
                <c:pt idx="214">
                  <c:v>1685587.2817000002</c:v>
                </c:pt>
                <c:pt idx="215">
                  <c:v>1699572.2766600002</c:v>
                </c:pt>
                <c:pt idx="216">
                  <c:v>1756342.1614999999</c:v>
                </c:pt>
                <c:pt idx="217">
                  <c:v>1817958.9377599999</c:v>
                </c:pt>
                <c:pt idx="218">
                  <c:v>1800341.5197200018</c:v>
                </c:pt>
                <c:pt idx="219">
                  <c:v>1844213.400820002</c:v>
                </c:pt>
                <c:pt idx="220">
                  <c:v>1829392.9577000018</c:v>
                </c:pt>
                <c:pt idx="221">
                  <c:v>1814051.7769400019</c:v>
                </c:pt>
                <c:pt idx="222">
                  <c:v>1816850.4749800018</c:v>
                </c:pt>
                <c:pt idx="223">
                  <c:v>1767413.709960002</c:v>
                </c:pt>
                <c:pt idx="224">
                  <c:v>1816215.4493000018</c:v>
                </c:pt>
                <c:pt idx="225">
                  <c:v>1771926.594440002</c:v>
                </c:pt>
                <c:pt idx="226">
                  <c:v>1780749.2379800021</c:v>
                </c:pt>
                <c:pt idx="227">
                  <c:v>1748071.1068800022</c:v>
                </c:pt>
                <c:pt idx="228">
                  <c:v>1780585.4308400019</c:v>
                </c:pt>
                <c:pt idx="229">
                  <c:v>1758855.123980002</c:v>
                </c:pt>
                <c:pt idx="230">
                  <c:v>1777578.2686600019</c:v>
                </c:pt>
                <c:pt idx="231">
                  <c:v>1761459.8084400021</c:v>
                </c:pt>
                <c:pt idx="232">
                  <c:v>1765817.2444600021</c:v>
                </c:pt>
                <c:pt idx="233">
                  <c:v>1744795.9645000019</c:v>
                </c:pt>
                <c:pt idx="234">
                  <c:v>1709332.1383000021</c:v>
                </c:pt>
                <c:pt idx="235">
                  <c:v>1718925.3918200019</c:v>
                </c:pt>
                <c:pt idx="236">
                  <c:v>1720733.1085200019</c:v>
                </c:pt>
                <c:pt idx="237">
                  <c:v>1748047.0722800021</c:v>
                </c:pt>
                <c:pt idx="238">
                  <c:v>1752559.5678200021</c:v>
                </c:pt>
                <c:pt idx="239">
                  <c:v>1762552.5331200019</c:v>
                </c:pt>
                <c:pt idx="240">
                  <c:v>1771070.5504200018</c:v>
                </c:pt>
                <c:pt idx="241">
                  <c:v>1766257.0869000021</c:v>
                </c:pt>
                <c:pt idx="242">
                  <c:v>1764798.1817000019</c:v>
                </c:pt>
                <c:pt idx="243">
                  <c:v>1766401.5608600019</c:v>
                </c:pt>
                <c:pt idx="244">
                  <c:v>1780283.7506800019</c:v>
                </c:pt>
                <c:pt idx="245">
                  <c:v>1780681.4625200019</c:v>
                </c:pt>
                <c:pt idx="246">
                  <c:v>1768745.0980400019</c:v>
                </c:pt>
                <c:pt idx="247">
                  <c:v>1785178.2365800019</c:v>
                </c:pt>
                <c:pt idx="248">
                  <c:v>1770236.1644200019</c:v>
                </c:pt>
                <c:pt idx="249">
                  <c:v>1738886.6523000021</c:v>
                </c:pt>
                <c:pt idx="250">
                  <c:v>1709639.9022200019</c:v>
                </c:pt>
                <c:pt idx="251">
                  <c:v>1686795.2803000021</c:v>
                </c:pt>
                <c:pt idx="252">
                  <c:v>1676400.619360002</c:v>
                </c:pt>
                <c:pt idx="253">
                  <c:v>1651639.3867800019</c:v>
                </c:pt>
                <c:pt idx="254">
                  <c:v>1623569.512740002</c:v>
                </c:pt>
                <c:pt idx="255">
                  <c:v>1649905.643580002</c:v>
                </c:pt>
                <c:pt idx="256">
                  <c:v>1671741.245800002</c:v>
                </c:pt>
                <c:pt idx="257">
                  <c:v>1681771.5976000018</c:v>
                </c:pt>
                <c:pt idx="258">
                  <c:v>1688081.8453400019</c:v>
                </c:pt>
                <c:pt idx="259">
                  <c:v>1669363.4535000022</c:v>
                </c:pt>
                <c:pt idx="260">
                  <c:v>1711153.6539800023</c:v>
                </c:pt>
                <c:pt idx="261">
                  <c:v>1747850.0328800019</c:v>
                </c:pt>
                <c:pt idx="262">
                  <c:v>1775074.312180002</c:v>
                </c:pt>
                <c:pt idx="263">
                  <c:v>1814954.128200002</c:v>
                </c:pt>
                <c:pt idx="264">
                  <c:v>1816285.582640002</c:v>
                </c:pt>
                <c:pt idx="265">
                  <c:v>1812351.680880002</c:v>
                </c:pt>
                <c:pt idx="266">
                  <c:v>1780210.696020002</c:v>
                </c:pt>
                <c:pt idx="267">
                  <c:v>1762580.1022600022</c:v>
                </c:pt>
                <c:pt idx="268">
                  <c:v>1735142.144820004</c:v>
                </c:pt>
                <c:pt idx="269">
                  <c:v>1764898.9387200039</c:v>
                </c:pt>
                <c:pt idx="270">
                  <c:v>1750587.765840004</c:v>
                </c:pt>
                <c:pt idx="271">
                  <c:v>1745746.0166600042</c:v>
                </c:pt>
                <c:pt idx="272">
                  <c:v>1755125.8577200039</c:v>
                </c:pt>
                <c:pt idx="273">
                  <c:v>1807051.7877600039</c:v>
                </c:pt>
                <c:pt idx="274">
                  <c:v>1843715.1251800042</c:v>
                </c:pt>
                <c:pt idx="275">
                  <c:v>1917283.928420004</c:v>
                </c:pt>
                <c:pt idx="276">
                  <c:v>1968499.2943200041</c:v>
                </c:pt>
                <c:pt idx="277">
                  <c:v>1987091.9748200041</c:v>
                </c:pt>
                <c:pt idx="278">
                  <c:v>2037113.48444</c:v>
                </c:pt>
                <c:pt idx="279">
                  <c:v>2001010.97808</c:v>
                </c:pt>
                <c:pt idx="280">
                  <c:v>2057018.7996800002</c:v>
                </c:pt>
                <c:pt idx="281">
                  <c:v>2027638.9510400002</c:v>
                </c:pt>
                <c:pt idx="282">
                  <c:v>2055546.5277399998</c:v>
                </c:pt>
                <c:pt idx="283">
                  <c:v>2023355.8874400002</c:v>
                </c:pt>
                <c:pt idx="284">
                  <c:v>2063767.5792399999</c:v>
                </c:pt>
                <c:pt idx="285">
                  <c:v>2076231.25346</c:v>
                </c:pt>
                <c:pt idx="286">
                  <c:v>2065574.5398200001</c:v>
                </c:pt>
                <c:pt idx="287">
                  <c:v>2002462.7910999998</c:v>
                </c:pt>
                <c:pt idx="288">
                  <c:v>1986828.6625000041</c:v>
                </c:pt>
                <c:pt idx="289">
                  <c:v>1988424.7784800041</c:v>
                </c:pt>
                <c:pt idx="290">
                  <c:v>2089099.46052</c:v>
                </c:pt>
                <c:pt idx="291">
                  <c:v>2115432.0925599998</c:v>
                </c:pt>
                <c:pt idx="292">
                  <c:v>2116767.54482</c:v>
                </c:pt>
                <c:pt idx="293">
                  <c:v>2138495.8532000002</c:v>
                </c:pt>
                <c:pt idx="294">
                  <c:v>2143552.1123199998</c:v>
                </c:pt>
                <c:pt idx="295">
                  <c:v>2157090.0265199998</c:v>
                </c:pt>
                <c:pt idx="296">
                  <c:v>2189450.15778</c:v>
                </c:pt>
                <c:pt idx="297">
                  <c:v>2180686.3474599998</c:v>
                </c:pt>
                <c:pt idx="298">
                  <c:v>2173421.35684</c:v>
                </c:pt>
                <c:pt idx="299">
                  <c:v>2207928.6261799997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7B-43D2-9B4B-D97B48B71BCA}"/>
            </c:ext>
          </c:extLst>
        </c:ser>
        <c:ser>
          <c:idx val="7"/>
          <c:order val="7"/>
          <c:tx>
            <c:strRef>
              <c:f>主板!$L$1</c:f>
              <c:strCache>
                <c:ptCount val="1"/>
                <c:pt idx="0">
                  <c:v>SVM_C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主板!$L$2:$L$301</c:f>
              <c:numCache>
                <c:formatCode>General</c:formatCode>
                <c:ptCount val="300"/>
                <c:pt idx="0">
                  <c:v>1000000</c:v>
                </c:pt>
                <c:pt idx="1">
                  <c:v>1023236.75836</c:v>
                </c:pt>
                <c:pt idx="2">
                  <c:v>1034071.0919600001</c:v>
                </c:pt>
                <c:pt idx="3">
                  <c:v>1037966.41556</c:v>
                </c:pt>
                <c:pt idx="4">
                  <c:v>1046480.7616800001</c:v>
                </c:pt>
                <c:pt idx="5">
                  <c:v>1049334.87668</c:v>
                </c:pt>
                <c:pt idx="6">
                  <c:v>1065205.24138</c:v>
                </c:pt>
                <c:pt idx="7">
                  <c:v>1062762.23428</c:v>
                </c:pt>
                <c:pt idx="8">
                  <c:v>1045600.80858</c:v>
                </c:pt>
                <c:pt idx="9">
                  <c:v>1025358.34026</c:v>
                </c:pt>
                <c:pt idx="10">
                  <c:v>1030176.79998</c:v>
                </c:pt>
                <c:pt idx="11">
                  <c:v>1038139.86788</c:v>
                </c:pt>
                <c:pt idx="12">
                  <c:v>1054852.4020199999</c:v>
                </c:pt>
                <c:pt idx="13">
                  <c:v>1048123.45144</c:v>
                </c:pt>
                <c:pt idx="14">
                  <c:v>1036851.1946</c:v>
                </c:pt>
                <c:pt idx="15">
                  <c:v>1032363.57072</c:v>
                </c:pt>
                <c:pt idx="16">
                  <c:v>1019655.70362</c:v>
                </c:pt>
                <c:pt idx="17">
                  <c:v>1031460.78458</c:v>
                </c:pt>
                <c:pt idx="18">
                  <c:v>1032825.2039999999</c:v>
                </c:pt>
                <c:pt idx="19">
                  <c:v>1019503.3418400001</c:v>
                </c:pt>
                <c:pt idx="20">
                  <c:v>1003625.28256</c:v>
                </c:pt>
                <c:pt idx="21">
                  <c:v>1006079.6769600001</c:v>
                </c:pt>
                <c:pt idx="22">
                  <c:v>995641.75573999994</c:v>
                </c:pt>
                <c:pt idx="23">
                  <c:v>1000596.9579399999</c:v>
                </c:pt>
                <c:pt idx="24">
                  <c:v>990930.55020000006</c:v>
                </c:pt>
                <c:pt idx="25">
                  <c:v>1004760.88948</c:v>
                </c:pt>
                <c:pt idx="26">
                  <c:v>985493.07251999993</c:v>
                </c:pt>
                <c:pt idx="27">
                  <c:v>1003038.09818</c:v>
                </c:pt>
                <c:pt idx="28">
                  <c:v>1016358.1127000001</c:v>
                </c:pt>
                <c:pt idx="29">
                  <c:v>1028831.81306</c:v>
                </c:pt>
                <c:pt idx="30">
                  <c:v>1022274.4142400001</c:v>
                </c:pt>
                <c:pt idx="31">
                  <c:v>1007716.7452199999</c:v>
                </c:pt>
                <c:pt idx="32">
                  <c:v>990392.50869999989</c:v>
                </c:pt>
                <c:pt idx="33">
                  <c:v>1002054.47844</c:v>
                </c:pt>
                <c:pt idx="34">
                  <c:v>982350.53059999994</c:v>
                </c:pt>
                <c:pt idx="35">
                  <c:v>988725.40519999992</c:v>
                </c:pt>
                <c:pt idx="36">
                  <c:v>968118.27480000001</c:v>
                </c:pt>
                <c:pt idx="37">
                  <c:v>965039.47601999994</c:v>
                </c:pt>
                <c:pt idx="38">
                  <c:v>967109.10387999995</c:v>
                </c:pt>
                <c:pt idx="39">
                  <c:v>973711.37579999992</c:v>
                </c:pt>
                <c:pt idx="40">
                  <c:v>991166.82185999991</c:v>
                </c:pt>
                <c:pt idx="41">
                  <c:v>985215.3708000019</c:v>
                </c:pt>
                <c:pt idx="42">
                  <c:v>973790.61682000197</c:v>
                </c:pt>
                <c:pt idx="43">
                  <c:v>973790.61682000197</c:v>
                </c:pt>
                <c:pt idx="44">
                  <c:v>973790.61682000197</c:v>
                </c:pt>
                <c:pt idx="45">
                  <c:v>973790.61682000197</c:v>
                </c:pt>
                <c:pt idx="46">
                  <c:v>970572.49544000195</c:v>
                </c:pt>
                <c:pt idx="47">
                  <c:v>965141.74642000196</c:v>
                </c:pt>
                <c:pt idx="48">
                  <c:v>981016.43264000188</c:v>
                </c:pt>
                <c:pt idx="49">
                  <c:v>969760.40566000191</c:v>
                </c:pt>
                <c:pt idx="50">
                  <c:v>998895.56814000197</c:v>
                </c:pt>
                <c:pt idx="51">
                  <c:v>983487.45474000205</c:v>
                </c:pt>
                <c:pt idx="52">
                  <c:v>985867.96532000194</c:v>
                </c:pt>
                <c:pt idx="53">
                  <c:v>978045.13396000187</c:v>
                </c:pt>
                <c:pt idx="54">
                  <c:v>974876.23881999997</c:v>
                </c:pt>
                <c:pt idx="55">
                  <c:v>974146.46848000004</c:v>
                </c:pt>
                <c:pt idx="56">
                  <c:v>951283.57317999995</c:v>
                </c:pt>
                <c:pt idx="57">
                  <c:v>949012.79267999995</c:v>
                </c:pt>
                <c:pt idx="58">
                  <c:v>917940.54550000001</c:v>
                </c:pt>
                <c:pt idx="59">
                  <c:v>883697.70028000011</c:v>
                </c:pt>
                <c:pt idx="60">
                  <c:v>891223.03198000009</c:v>
                </c:pt>
                <c:pt idx="61">
                  <c:v>900019.22112000012</c:v>
                </c:pt>
                <c:pt idx="62">
                  <c:v>898928.22833999991</c:v>
                </c:pt>
                <c:pt idx="63">
                  <c:v>872317.10576000006</c:v>
                </c:pt>
                <c:pt idx="64">
                  <c:v>825322.84771999996</c:v>
                </c:pt>
                <c:pt idx="65">
                  <c:v>849743.21331999986</c:v>
                </c:pt>
                <c:pt idx="66">
                  <c:v>861399.82740000007</c:v>
                </c:pt>
                <c:pt idx="67">
                  <c:v>864410.67087999987</c:v>
                </c:pt>
                <c:pt idx="68">
                  <c:v>863958.71780000196</c:v>
                </c:pt>
                <c:pt idx="69">
                  <c:v>862084.76789999998</c:v>
                </c:pt>
                <c:pt idx="70">
                  <c:v>863006.07874000201</c:v>
                </c:pt>
                <c:pt idx="71">
                  <c:v>854199.07176000194</c:v>
                </c:pt>
                <c:pt idx="72">
                  <c:v>833523.11436000199</c:v>
                </c:pt>
                <c:pt idx="73">
                  <c:v>825226.00722000201</c:v>
                </c:pt>
                <c:pt idx="74">
                  <c:v>825625.910900002</c:v>
                </c:pt>
                <c:pt idx="75">
                  <c:v>837797.22065999999</c:v>
                </c:pt>
                <c:pt idx="76">
                  <c:v>828661.69883999997</c:v>
                </c:pt>
                <c:pt idx="77">
                  <c:v>832598.22255999991</c:v>
                </c:pt>
                <c:pt idx="78">
                  <c:v>829467.82452000002</c:v>
                </c:pt>
                <c:pt idx="79">
                  <c:v>814978.30900000001</c:v>
                </c:pt>
                <c:pt idx="80">
                  <c:v>814941.57013999997</c:v>
                </c:pt>
                <c:pt idx="81">
                  <c:v>791952.44874000002</c:v>
                </c:pt>
                <c:pt idx="82">
                  <c:v>796926.10536000005</c:v>
                </c:pt>
                <c:pt idx="83">
                  <c:v>786207.87050000194</c:v>
                </c:pt>
                <c:pt idx="84">
                  <c:v>796243.07224000199</c:v>
                </c:pt>
                <c:pt idx="85">
                  <c:v>794661.43200000201</c:v>
                </c:pt>
                <c:pt idx="86">
                  <c:v>799847.26938000205</c:v>
                </c:pt>
                <c:pt idx="87">
                  <c:v>796522.68174000201</c:v>
                </c:pt>
                <c:pt idx="88">
                  <c:v>790782.77892000205</c:v>
                </c:pt>
                <c:pt idx="89">
                  <c:v>769134.182580002</c:v>
                </c:pt>
                <c:pt idx="90">
                  <c:v>767499.86564000207</c:v>
                </c:pt>
                <c:pt idx="91">
                  <c:v>732410.94540000206</c:v>
                </c:pt>
                <c:pt idx="92">
                  <c:v>712084.21320000198</c:v>
                </c:pt>
                <c:pt idx="93">
                  <c:v>733820.02324000199</c:v>
                </c:pt>
                <c:pt idx="94">
                  <c:v>735827.20888000005</c:v>
                </c:pt>
                <c:pt idx="95">
                  <c:v>756142.92033999995</c:v>
                </c:pt>
                <c:pt idx="96">
                  <c:v>768307.41730000009</c:v>
                </c:pt>
                <c:pt idx="97">
                  <c:v>757921.55363999994</c:v>
                </c:pt>
                <c:pt idx="98">
                  <c:v>759379.09236000001</c:v>
                </c:pt>
                <c:pt idx="99">
                  <c:v>771481.93062</c:v>
                </c:pt>
                <c:pt idx="100">
                  <c:v>789444.10638000001</c:v>
                </c:pt>
                <c:pt idx="101">
                  <c:v>789539.27177999995</c:v>
                </c:pt>
                <c:pt idx="102">
                  <c:v>794894.55813999998</c:v>
                </c:pt>
                <c:pt idx="103">
                  <c:v>789172.35730000003</c:v>
                </c:pt>
                <c:pt idx="104">
                  <c:v>792297.42233999993</c:v>
                </c:pt>
                <c:pt idx="105">
                  <c:v>798651.12366000004</c:v>
                </c:pt>
                <c:pt idx="106">
                  <c:v>803115.38266</c:v>
                </c:pt>
                <c:pt idx="107">
                  <c:v>816200.27145999996</c:v>
                </c:pt>
                <c:pt idx="108">
                  <c:v>824495.28041999997</c:v>
                </c:pt>
                <c:pt idx="109">
                  <c:v>803695.44378000009</c:v>
                </c:pt>
                <c:pt idx="110">
                  <c:v>809193.14638000005</c:v>
                </c:pt>
                <c:pt idx="111">
                  <c:v>815923.99095999997</c:v>
                </c:pt>
                <c:pt idx="112">
                  <c:v>818259.79859999998</c:v>
                </c:pt>
                <c:pt idx="113">
                  <c:v>828160.36228</c:v>
                </c:pt>
                <c:pt idx="114">
                  <c:v>841967.53422000003</c:v>
                </c:pt>
                <c:pt idx="115">
                  <c:v>843544.00125999993</c:v>
                </c:pt>
                <c:pt idx="116">
                  <c:v>847429.10483999993</c:v>
                </c:pt>
                <c:pt idx="117">
                  <c:v>875481.90982000006</c:v>
                </c:pt>
                <c:pt idx="118">
                  <c:v>875153.75275999994</c:v>
                </c:pt>
                <c:pt idx="119">
                  <c:v>885725.64715999993</c:v>
                </c:pt>
                <c:pt idx="120">
                  <c:v>870231.48164000013</c:v>
                </c:pt>
                <c:pt idx="121">
                  <c:v>900183.94201999996</c:v>
                </c:pt>
                <c:pt idx="122">
                  <c:v>913353.19030000013</c:v>
                </c:pt>
                <c:pt idx="123">
                  <c:v>926346.82452000002</c:v>
                </c:pt>
                <c:pt idx="124">
                  <c:v>932423.05698000011</c:v>
                </c:pt>
                <c:pt idx="125">
                  <c:v>952654.25341999996</c:v>
                </c:pt>
                <c:pt idx="126">
                  <c:v>961472.64454000001</c:v>
                </c:pt>
                <c:pt idx="127">
                  <c:v>969939.24849999999</c:v>
                </c:pt>
                <c:pt idx="128">
                  <c:v>966624.50383999792</c:v>
                </c:pt>
                <c:pt idx="129">
                  <c:v>973281.13477999996</c:v>
                </c:pt>
                <c:pt idx="130">
                  <c:v>971701.25397999992</c:v>
                </c:pt>
                <c:pt idx="131">
                  <c:v>993425.608439998</c:v>
                </c:pt>
                <c:pt idx="132">
                  <c:v>1019738.5580599981</c:v>
                </c:pt>
                <c:pt idx="133">
                  <c:v>1053050.6792799979</c:v>
                </c:pt>
                <c:pt idx="134">
                  <c:v>1021052.662559998</c:v>
                </c:pt>
                <c:pt idx="135">
                  <c:v>1033446.361699998</c:v>
                </c:pt>
                <c:pt idx="136">
                  <c:v>1043745.8416599979</c:v>
                </c:pt>
                <c:pt idx="137">
                  <c:v>1060808.43034</c:v>
                </c:pt>
                <c:pt idx="138">
                  <c:v>1046523.5541600001</c:v>
                </c:pt>
                <c:pt idx="139">
                  <c:v>1028875.2353399999</c:v>
                </c:pt>
                <c:pt idx="140">
                  <c:v>1057103.5015199981</c:v>
                </c:pt>
                <c:pt idx="141">
                  <c:v>1051641.2641599979</c:v>
                </c:pt>
                <c:pt idx="142">
                  <c:v>1034657.2473599979</c:v>
                </c:pt>
                <c:pt idx="143">
                  <c:v>1014421.395479998</c:v>
                </c:pt>
                <c:pt idx="144">
                  <c:v>1016373.6520199981</c:v>
                </c:pt>
                <c:pt idx="145">
                  <c:v>1022312.025499998</c:v>
                </c:pt>
                <c:pt idx="146">
                  <c:v>1028212.061799998</c:v>
                </c:pt>
                <c:pt idx="147">
                  <c:v>1042998.234159996</c:v>
                </c:pt>
                <c:pt idx="148">
                  <c:v>1046519.7892399959</c:v>
                </c:pt>
                <c:pt idx="149">
                  <c:v>1054475.142179996</c:v>
                </c:pt>
                <c:pt idx="150">
                  <c:v>1046692.736439996</c:v>
                </c:pt>
                <c:pt idx="151">
                  <c:v>1034473.150719996</c:v>
                </c:pt>
                <c:pt idx="152">
                  <c:v>1025156.7039599961</c:v>
                </c:pt>
                <c:pt idx="153">
                  <c:v>1042919.4553599959</c:v>
                </c:pt>
                <c:pt idx="154">
                  <c:v>1054545.0548599961</c:v>
                </c:pt>
                <c:pt idx="155">
                  <c:v>1049547.980379998</c:v>
                </c:pt>
                <c:pt idx="156">
                  <c:v>1030246.9639599981</c:v>
                </c:pt>
                <c:pt idx="157">
                  <c:v>1039668.497899998</c:v>
                </c:pt>
                <c:pt idx="158">
                  <c:v>1031978.9361599979</c:v>
                </c:pt>
                <c:pt idx="159">
                  <c:v>1025628.695359998</c:v>
                </c:pt>
                <c:pt idx="160">
                  <c:v>1025312.980239998</c:v>
                </c:pt>
                <c:pt idx="161">
                  <c:v>1030795.9924599979</c:v>
                </c:pt>
                <c:pt idx="162">
                  <c:v>1041222.805879998</c:v>
                </c:pt>
                <c:pt idx="163">
                  <c:v>1047993.643719998</c:v>
                </c:pt>
                <c:pt idx="164">
                  <c:v>1045290.546579998</c:v>
                </c:pt>
                <c:pt idx="165">
                  <c:v>1052536.592999998</c:v>
                </c:pt>
                <c:pt idx="166">
                  <c:v>1044999.4391999959</c:v>
                </c:pt>
                <c:pt idx="167">
                  <c:v>1043360.938879996</c:v>
                </c:pt>
                <c:pt idx="168">
                  <c:v>1042564.069479996</c:v>
                </c:pt>
                <c:pt idx="169">
                  <c:v>1042842.0300599961</c:v>
                </c:pt>
                <c:pt idx="170">
                  <c:v>1035196.352339996</c:v>
                </c:pt>
                <c:pt idx="171">
                  <c:v>1034261.916959996</c:v>
                </c:pt>
                <c:pt idx="172">
                  <c:v>1039497.587119996</c:v>
                </c:pt>
                <c:pt idx="173">
                  <c:v>1041019.6701599959</c:v>
                </c:pt>
                <c:pt idx="174">
                  <c:v>1009164.760279998</c:v>
                </c:pt>
                <c:pt idx="175">
                  <c:v>1009466.733059998</c:v>
                </c:pt>
                <c:pt idx="176">
                  <c:v>1009178.6382999981</c:v>
                </c:pt>
                <c:pt idx="177">
                  <c:v>1010761.027059998</c:v>
                </c:pt>
                <c:pt idx="178">
                  <c:v>1003498.327419996</c:v>
                </c:pt>
                <c:pt idx="179">
                  <c:v>991958.31639999803</c:v>
                </c:pt>
                <c:pt idx="180">
                  <c:v>984807.679699998</c:v>
                </c:pt>
                <c:pt idx="181">
                  <c:v>984804.00431999809</c:v>
                </c:pt>
                <c:pt idx="182">
                  <c:v>979702.72689999803</c:v>
                </c:pt>
                <c:pt idx="183">
                  <c:v>993428.04215999995</c:v>
                </c:pt>
                <c:pt idx="184">
                  <c:v>995690.86353999993</c:v>
                </c:pt>
                <c:pt idx="185">
                  <c:v>986817.29307999997</c:v>
                </c:pt>
                <c:pt idx="186">
                  <c:v>988338.64142</c:v>
                </c:pt>
                <c:pt idx="187">
                  <c:v>1004023.4926199981</c:v>
                </c:pt>
                <c:pt idx="188">
                  <c:v>992681.91761999798</c:v>
                </c:pt>
                <c:pt idx="189">
                  <c:v>959873.6356399979</c:v>
                </c:pt>
                <c:pt idx="190">
                  <c:v>945149.92061999789</c:v>
                </c:pt>
                <c:pt idx="191">
                  <c:v>943612.67939999793</c:v>
                </c:pt>
                <c:pt idx="192">
                  <c:v>965896.4671399981</c:v>
                </c:pt>
                <c:pt idx="193">
                  <c:v>959130.17289999803</c:v>
                </c:pt>
                <c:pt idx="194">
                  <c:v>963142.94051999808</c:v>
                </c:pt>
                <c:pt idx="195">
                  <c:v>940036.3877199979</c:v>
                </c:pt>
                <c:pt idx="196">
                  <c:v>943073.25905999797</c:v>
                </c:pt>
                <c:pt idx="197">
                  <c:v>975882.4481399979</c:v>
                </c:pt>
                <c:pt idx="198">
                  <c:v>946941.76305999793</c:v>
                </c:pt>
                <c:pt idx="199">
                  <c:v>946768.37175999803</c:v>
                </c:pt>
                <c:pt idx="200">
                  <c:v>930147.83395999798</c:v>
                </c:pt>
                <c:pt idx="201">
                  <c:v>939746.30783999804</c:v>
                </c:pt>
                <c:pt idx="202">
                  <c:v>968755.34265999799</c:v>
                </c:pt>
                <c:pt idx="203">
                  <c:v>961172.47555999795</c:v>
                </c:pt>
                <c:pt idx="204">
                  <c:v>975872.43709999998</c:v>
                </c:pt>
                <c:pt idx="205">
                  <c:v>970575.07172000001</c:v>
                </c:pt>
                <c:pt idx="206">
                  <c:v>970416.23943999805</c:v>
                </c:pt>
                <c:pt idx="207">
                  <c:v>956937.97529999795</c:v>
                </c:pt>
                <c:pt idx="208">
                  <c:v>946106.90973999794</c:v>
                </c:pt>
                <c:pt idx="209">
                  <c:v>948392.30693999992</c:v>
                </c:pt>
                <c:pt idx="210">
                  <c:v>940311.18041999987</c:v>
                </c:pt>
                <c:pt idx="211">
                  <c:v>940780.75960000011</c:v>
                </c:pt>
                <c:pt idx="212">
                  <c:v>953988.70107999793</c:v>
                </c:pt>
                <c:pt idx="213">
                  <c:v>944363.29441999795</c:v>
                </c:pt>
                <c:pt idx="214">
                  <c:v>913066.12503999809</c:v>
                </c:pt>
                <c:pt idx="215">
                  <c:v>908177.52865999995</c:v>
                </c:pt>
                <c:pt idx="216">
                  <c:v>932249.68397999997</c:v>
                </c:pt>
                <c:pt idx="217">
                  <c:v>945894.92738000001</c:v>
                </c:pt>
                <c:pt idx="218">
                  <c:v>944258.03157999995</c:v>
                </c:pt>
                <c:pt idx="219">
                  <c:v>970194.91896000004</c:v>
                </c:pt>
                <c:pt idx="220">
                  <c:v>966793.56403999997</c:v>
                </c:pt>
                <c:pt idx="221">
                  <c:v>958144.72393999994</c:v>
                </c:pt>
                <c:pt idx="222">
                  <c:v>952174.88048000005</c:v>
                </c:pt>
                <c:pt idx="223">
                  <c:v>938992.91241999995</c:v>
                </c:pt>
                <c:pt idx="224">
                  <c:v>946419.85721999803</c:v>
                </c:pt>
                <c:pt idx="225">
                  <c:v>928549.18817999994</c:v>
                </c:pt>
                <c:pt idx="226">
                  <c:v>944390.15399999986</c:v>
                </c:pt>
                <c:pt idx="227">
                  <c:v>944430.68046000006</c:v>
                </c:pt>
                <c:pt idx="228">
                  <c:v>973164.49932000006</c:v>
                </c:pt>
                <c:pt idx="229">
                  <c:v>976088.26613999996</c:v>
                </c:pt>
                <c:pt idx="230">
                  <c:v>977861.37699999998</c:v>
                </c:pt>
                <c:pt idx="231">
                  <c:v>953211.38729999994</c:v>
                </c:pt>
                <c:pt idx="232">
                  <c:v>947430.02484000009</c:v>
                </c:pt>
                <c:pt idx="233">
                  <c:v>952281.76743999997</c:v>
                </c:pt>
                <c:pt idx="234">
                  <c:v>957254.90798000002</c:v>
                </c:pt>
                <c:pt idx="235">
                  <c:v>965727.91980000003</c:v>
                </c:pt>
                <c:pt idx="236">
                  <c:v>976361.85505999997</c:v>
                </c:pt>
                <c:pt idx="237">
                  <c:v>973307.87601999997</c:v>
                </c:pt>
                <c:pt idx="238">
                  <c:v>976762.85108000005</c:v>
                </c:pt>
                <c:pt idx="239">
                  <c:v>974170.21882000007</c:v>
                </c:pt>
                <c:pt idx="240">
                  <c:v>978882.78321999998</c:v>
                </c:pt>
                <c:pt idx="241">
                  <c:v>987878.28526000003</c:v>
                </c:pt>
                <c:pt idx="242">
                  <c:v>990120.08366</c:v>
                </c:pt>
                <c:pt idx="243">
                  <c:v>995024.90327999997</c:v>
                </c:pt>
                <c:pt idx="244">
                  <c:v>993560.39389999991</c:v>
                </c:pt>
                <c:pt idx="245">
                  <c:v>981653.3677200001</c:v>
                </c:pt>
                <c:pt idx="246">
                  <c:v>975425.87594000006</c:v>
                </c:pt>
                <c:pt idx="247">
                  <c:v>984743.67241999996</c:v>
                </c:pt>
                <c:pt idx="248">
                  <c:v>982667.96642000007</c:v>
                </c:pt>
                <c:pt idx="249">
                  <c:v>966744.33161999995</c:v>
                </c:pt>
                <c:pt idx="250">
                  <c:v>950371.22808000003</c:v>
                </c:pt>
                <c:pt idx="251">
                  <c:v>939395.01861999999</c:v>
                </c:pt>
                <c:pt idx="252">
                  <c:v>940004.71194000007</c:v>
                </c:pt>
                <c:pt idx="253">
                  <c:v>943031.12141999998</c:v>
                </c:pt>
                <c:pt idx="254">
                  <c:v>932913.05488000007</c:v>
                </c:pt>
                <c:pt idx="255">
                  <c:v>957184.01699999999</c:v>
                </c:pt>
                <c:pt idx="256">
                  <c:v>969210.72185999993</c:v>
                </c:pt>
                <c:pt idx="257">
                  <c:v>965109.15236000007</c:v>
                </c:pt>
                <c:pt idx="258">
                  <c:v>966002.95120000001</c:v>
                </c:pt>
                <c:pt idx="259">
                  <c:v>970424.63022000005</c:v>
                </c:pt>
                <c:pt idx="260">
                  <c:v>971211.27684000006</c:v>
                </c:pt>
                <c:pt idx="261">
                  <c:v>970206.02432000008</c:v>
                </c:pt>
                <c:pt idx="262">
                  <c:v>989124.15844000003</c:v>
                </c:pt>
                <c:pt idx="263">
                  <c:v>996493.89078000002</c:v>
                </c:pt>
                <c:pt idx="264">
                  <c:v>994790.94233999995</c:v>
                </c:pt>
                <c:pt idx="265">
                  <c:v>1005722.0363800001</c:v>
                </c:pt>
                <c:pt idx="266">
                  <c:v>991567.42892000009</c:v>
                </c:pt>
                <c:pt idx="267">
                  <c:v>987440.02273999993</c:v>
                </c:pt>
                <c:pt idx="268">
                  <c:v>986065.94600000011</c:v>
                </c:pt>
                <c:pt idx="269">
                  <c:v>986365.44622000004</c:v>
                </c:pt>
                <c:pt idx="270">
                  <c:v>984008.45761999988</c:v>
                </c:pt>
                <c:pt idx="271">
                  <c:v>974695.82496000198</c:v>
                </c:pt>
                <c:pt idx="272">
                  <c:v>971848.42716000194</c:v>
                </c:pt>
                <c:pt idx="273">
                  <c:v>974264.36292000208</c:v>
                </c:pt>
                <c:pt idx="274">
                  <c:v>980941.16398000193</c:v>
                </c:pt>
                <c:pt idx="275">
                  <c:v>984807.10120000003</c:v>
                </c:pt>
                <c:pt idx="276">
                  <c:v>996980.72031999996</c:v>
                </c:pt>
                <c:pt idx="277">
                  <c:v>999378.08857999998</c:v>
                </c:pt>
                <c:pt idx="278">
                  <c:v>994922.15307999996</c:v>
                </c:pt>
                <c:pt idx="279">
                  <c:v>984364.44913999992</c:v>
                </c:pt>
                <c:pt idx="280">
                  <c:v>986984.8176999999</c:v>
                </c:pt>
                <c:pt idx="281">
                  <c:v>979408.08180000004</c:v>
                </c:pt>
                <c:pt idx="282">
                  <c:v>995541.56738000014</c:v>
                </c:pt>
                <c:pt idx="283">
                  <c:v>996049.24638000003</c:v>
                </c:pt>
                <c:pt idx="284">
                  <c:v>1008132.9545600001</c:v>
                </c:pt>
                <c:pt idx="285">
                  <c:v>1009858.5557</c:v>
                </c:pt>
                <c:pt idx="286">
                  <c:v>1007027.5776799999</c:v>
                </c:pt>
                <c:pt idx="287">
                  <c:v>983080.55330000003</c:v>
                </c:pt>
                <c:pt idx="288">
                  <c:v>975550.17038000003</c:v>
                </c:pt>
                <c:pt idx="289">
                  <c:v>995268.56549999991</c:v>
                </c:pt>
                <c:pt idx="290">
                  <c:v>1012035.33312</c:v>
                </c:pt>
                <c:pt idx="291">
                  <c:v>1016576.07226</c:v>
                </c:pt>
                <c:pt idx="292">
                  <c:v>1000375.72382</c:v>
                </c:pt>
                <c:pt idx="293">
                  <c:v>999108.44932000001</c:v>
                </c:pt>
                <c:pt idx="294">
                  <c:v>993742.32559999987</c:v>
                </c:pt>
                <c:pt idx="295">
                  <c:v>1002287.5422800001</c:v>
                </c:pt>
                <c:pt idx="296">
                  <c:v>1005999.43056</c:v>
                </c:pt>
                <c:pt idx="297">
                  <c:v>1000944.56186</c:v>
                </c:pt>
                <c:pt idx="298">
                  <c:v>992420.44115999993</c:v>
                </c:pt>
                <c:pt idx="299">
                  <c:v>999954.80735999788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7B-43D2-9B4B-D97B48B71BCA}"/>
            </c:ext>
          </c:extLst>
        </c:ser>
        <c:ser>
          <c:idx val="8"/>
          <c:order val="8"/>
          <c:tx>
            <c:strRef>
              <c:f>主板!$M$1</c:f>
              <c:strCache>
                <c:ptCount val="1"/>
                <c:pt idx="0">
                  <c:v>MLP_C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主板!$M$2:$M$301</c:f>
              <c:numCache>
                <c:formatCode>General</c:formatCode>
                <c:ptCount val="300"/>
                <c:pt idx="0">
                  <c:v>1000000</c:v>
                </c:pt>
                <c:pt idx="1">
                  <c:v>1022257.9014199979</c:v>
                </c:pt>
                <c:pt idx="2">
                  <c:v>1033049.729019998</c:v>
                </c:pt>
                <c:pt idx="3">
                  <c:v>1037532.3908399999</c:v>
                </c:pt>
                <c:pt idx="4">
                  <c:v>1046048.3943</c:v>
                </c:pt>
                <c:pt idx="5">
                  <c:v>1048849.7825200001</c:v>
                </c:pt>
                <c:pt idx="6">
                  <c:v>1064720.2773</c:v>
                </c:pt>
                <c:pt idx="7">
                  <c:v>1062272.4662799998</c:v>
                </c:pt>
                <c:pt idx="8">
                  <c:v>1046091.4289200001</c:v>
                </c:pt>
                <c:pt idx="9">
                  <c:v>1025849.3112999999</c:v>
                </c:pt>
                <c:pt idx="10">
                  <c:v>1030666.8886600001</c:v>
                </c:pt>
                <c:pt idx="11">
                  <c:v>1038629.9565600001</c:v>
                </c:pt>
                <c:pt idx="12">
                  <c:v>1055341.0024000001</c:v>
                </c:pt>
                <c:pt idx="13">
                  <c:v>1046266.7232799981</c:v>
                </c:pt>
                <c:pt idx="14">
                  <c:v>1031299.87512</c:v>
                </c:pt>
                <c:pt idx="15">
                  <c:v>1025503.077719998</c:v>
                </c:pt>
                <c:pt idx="16">
                  <c:v>1012549.9077</c:v>
                </c:pt>
                <c:pt idx="17">
                  <c:v>1025687.67138</c:v>
                </c:pt>
                <c:pt idx="18">
                  <c:v>1027007.6656199999</c:v>
                </c:pt>
                <c:pt idx="19">
                  <c:v>1016501.855199998</c:v>
                </c:pt>
                <c:pt idx="20">
                  <c:v>1003370.9473799979</c:v>
                </c:pt>
                <c:pt idx="21">
                  <c:v>1007971.378919998</c:v>
                </c:pt>
                <c:pt idx="22">
                  <c:v>998971.42423999798</c:v>
                </c:pt>
                <c:pt idx="23">
                  <c:v>1000059.784619998</c:v>
                </c:pt>
                <c:pt idx="24">
                  <c:v>995328.75821999798</c:v>
                </c:pt>
                <c:pt idx="25">
                  <c:v>1004426.107159998</c:v>
                </c:pt>
                <c:pt idx="26">
                  <c:v>984078.76695999806</c:v>
                </c:pt>
                <c:pt idx="27">
                  <c:v>1005151.419379998</c:v>
                </c:pt>
                <c:pt idx="28">
                  <c:v>1019512.697679998</c:v>
                </c:pt>
                <c:pt idx="29">
                  <c:v>1032332.1751399981</c:v>
                </c:pt>
                <c:pt idx="30">
                  <c:v>1024674.365359998</c:v>
                </c:pt>
                <c:pt idx="31">
                  <c:v>1009841.839439998</c:v>
                </c:pt>
                <c:pt idx="32">
                  <c:v>993463.88397999795</c:v>
                </c:pt>
                <c:pt idx="33">
                  <c:v>1005209.108199998</c:v>
                </c:pt>
                <c:pt idx="34">
                  <c:v>984220.57518000004</c:v>
                </c:pt>
                <c:pt idx="35">
                  <c:v>990443.20965999993</c:v>
                </c:pt>
                <c:pt idx="36">
                  <c:v>966322.7021600001</c:v>
                </c:pt>
                <c:pt idx="37">
                  <c:v>963267.01053999795</c:v>
                </c:pt>
                <c:pt idx="38">
                  <c:v>963192.03247999796</c:v>
                </c:pt>
                <c:pt idx="39">
                  <c:v>969672.87515999994</c:v>
                </c:pt>
                <c:pt idx="40">
                  <c:v>986291.62448</c:v>
                </c:pt>
                <c:pt idx="41">
                  <c:v>980347.40856000001</c:v>
                </c:pt>
                <c:pt idx="42">
                  <c:v>969040.83673999994</c:v>
                </c:pt>
                <c:pt idx="43">
                  <c:v>969040.83673999994</c:v>
                </c:pt>
                <c:pt idx="44">
                  <c:v>969040.83673999994</c:v>
                </c:pt>
                <c:pt idx="45">
                  <c:v>969040.83673999994</c:v>
                </c:pt>
                <c:pt idx="46">
                  <c:v>964696.35144</c:v>
                </c:pt>
                <c:pt idx="47">
                  <c:v>968179.76769999997</c:v>
                </c:pt>
                <c:pt idx="48">
                  <c:v>984065.89695999993</c:v>
                </c:pt>
                <c:pt idx="49">
                  <c:v>972821.89646000008</c:v>
                </c:pt>
                <c:pt idx="50">
                  <c:v>994056.05363999994</c:v>
                </c:pt>
                <c:pt idx="51">
                  <c:v>978466.24101999996</c:v>
                </c:pt>
                <c:pt idx="52">
                  <c:v>980730.90042000008</c:v>
                </c:pt>
                <c:pt idx="53">
                  <c:v>972782.49352000002</c:v>
                </c:pt>
                <c:pt idx="54">
                  <c:v>970035.62493999989</c:v>
                </c:pt>
                <c:pt idx="55">
                  <c:v>968077.12914000009</c:v>
                </c:pt>
                <c:pt idx="56">
                  <c:v>943078.15543999802</c:v>
                </c:pt>
                <c:pt idx="57">
                  <c:v>942604.06285999995</c:v>
                </c:pt>
                <c:pt idx="58">
                  <c:v>909409.87479999999</c:v>
                </c:pt>
                <c:pt idx="59">
                  <c:v>881941.7953</c:v>
                </c:pt>
                <c:pt idx="60">
                  <c:v>888195.46185999992</c:v>
                </c:pt>
                <c:pt idx="61">
                  <c:v>895435.32095999992</c:v>
                </c:pt>
                <c:pt idx="62">
                  <c:v>894987.74795999995</c:v>
                </c:pt>
                <c:pt idx="63">
                  <c:v>868435.22315999994</c:v>
                </c:pt>
                <c:pt idx="64">
                  <c:v>821326.73745999997</c:v>
                </c:pt>
                <c:pt idx="65">
                  <c:v>848061.46763999795</c:v>
                </c:pt>
                <c:pt idx="66">
                  <c:v>858699.937359998</c:v>
                </c:pt>
                <c:pt idx="67">
                  <c:v>863844.76159999799</c:v>
                </c:pt>
                <c:pt idx="68">
                  <c:v>863371.24430000002</c:v>
                </c:pt>
                <c:pt idx="69">
                  <c:v>858718.65253999992</c:v>
                </c:pt>
                <c:pt idx="70">
                  <c:v>858755.27664000005</c:v>
                </c:pt>
                <c:pt idx="71">
                  <c:v>851600.70490000001</c:v>
                </c:pt>
                <c:pt idx="72">
                  <c:v>829979.57004000002</c:v>
                </c:pt>
                <c:pt idx="73">
                  <c:v>823111.26636000001</c:v>
                </c:pt>
                <c:pt idx="74">
                  <c:v>821928.43258000002</c:v>
                </c:pt>
                <c:pt idx="75">
                  <c:v>833195.22045999998</c:v>
                </c:pt>
                <c:pt idx="76">
                  <c:v>825465.91385999997</c:v>
                </c:pt>
                <c:pt idx="77">
                  <c:v>827525.26823999803</c:v>
                </c:pt>
                <c:pt idx="78">
                  <c:v>824620.247199998</c:v>
                </c:pt>
                <c:pt idx="79">
                  <c:v>810213.34909999801</c:v>
                </c:pt>
                <c:pt idx="80">
                  <c:v>809738.71485999809</c:v>
                </c:pt>
                <c:pt idx="81">
                  <c:v>788661.03501999797</c:v>
                </c:pt>
                <c:pt idx="82">
                  <c:v>793407.55853999802</c:v>
                </c:pt>
                <c:pt idx="83">
                  <c:v>782991.02943999809</c:v>
                </c:pt>
                <c:pt idx="84">
                  <c:v>792436.385179998</c:v>
                </c:pt>
                <c:pt idx="85">
                  <c:v>791601.45889999799</c:v>
                </c:pt>
                <c:pt idx="86">
                  <c:v>796677.36191999796</c:v>
                </c:pt>
                <c:pt idx="87">
                  <c:v>793126.73915999592</c:v>
                </c:pt>
                <c:pt idx="88">
                  <c:v>786937.90401999594</c:v>
                </c:pt>
                <c:pt idx="89">
                  <c:v>765285.55393999605</c:v>
                </c:pt>
                <c:pt idx="90">
                  <c:v>763817.063059996</c:v>
                </c:pt>
                <c:pt idx="91">
                  <c:v>728926.72253999603</c:v>
                </c:pt>
                <c:pt idx="92">
                  <c:v>708818.44631999603</c:v>
                </c:pt>
                <c:pt idx="93">
                  <c:v>729818.38411999599</c:v>
                </c:pt>
                <c:pt idx="94">
                  <c:v>732523.42119999602</c:v>
                </c:pt>
                <c:pt idx="95">
                  <c:v>752521.77443999599</c:v>
                </c:pt>
                <c:pt idx="96">
                  <c:v>762961.48373999598</c:v>
                </c:pt>
                <c:pt idx="97">
                  <c:v>752826.34383999603</c:v>
                </c:pt>
                <c:pt idx="98">
                  <c:v>755103.54551999597</c:v>
                </c:pt>
                <c:pt idx="99">
                  <c:v>765373.31547999592</c:v>
                </c:pt>
                <c:pt idx="100">
                  <c:v>780499.70337999403</c:v>
                </c:pt>
                <c:pt idx="101">
                  <c:v>780863.38629999408</c:v>
                </c:pt>
                <c:pt idx="102">
                  <c:v>786579.60871999408</c:v>
                </c:pt>
                <c:pt idx="103">
                  <c:v>783206.11325999396</c:v>
                </c:pt>
                <c:pt idx="104">
                  <c:v>785944.27925999602</c:v>
                </c:pt>
                <c:pt idx="105">
                  <c:v>790671.61223999597</c:v>
                </c:pt>
                <c:pt idx="106">
                  <c:v>796682.33893999597</c:v>
                </c:pt>
                <c:pt idx="107">
                  <c:v>808267.01889999607</c:v>
                </c:pt>
                <c:pt idx="108">
                  <c:v>813461.38617999596</c:v>
                </c:pt>
                <c:pt idx="109">
                  <c:v>790634.808519996</c:v>
                </c:pt>
                <c:pt idx="110">
                  <c:v>798984.14855999604</c:v>
                </c:pt>
                <c:pt idx="111">
                  <c:v>806292.25079999608</c:v>
                </c:pt>
                <c:pt idx="112">
                  <c:v>808563.36049999599</c:v>
                </c:pt>
                <c:pt idx="113">
                  <c:v>817305.11371999595</c:v>
                </c:pt>
                <c:pt idx="114">
                  <c:v>829407.24295999599</c:v>
                </c:pt>
                <c:pt idx="115">
                  <c:v>827630.56243999605</c:v>
                </c:pt>
                <c:pt idx="116">
                  <c:v>829649.41069999593</c:v>
                </c:pt>
                <c:pt idx="117">
                  <c:v>856645.19349999598</c:v>
                </c:pt>
                <c:pt idx="118">
                  <c:v>856305.26077999605</c:v>
                </c:pt>
                <c:pt idx="119">
                  <c:v>867450.12051999604</c:v>
                </c:pt>
                <c:pt idx="120">
                  <c:v>852177.48411999608</c:v>
                </c:pt>
                <c:pt idx="121">
                  <c:v>882194.41135999595</c:v>
                </c:pt>
                <c:pt idx="122">
                  <c:v>898208.92207999597</c:v>
                </c:pt>
                <c:pt idx="123">
                  <c:v>910959.96805999591</c:v>
                </c:pt>
                <c:pt idx="124">
                  <c:v>917360.58421999612</c:v>
                </c:pt>
                <c:pt idx="125">
                  <c:v>937286.79599999601</c:v>
                </c:pt>
                <c:pt idx="126">
                  <c:v>945940.82693999598</c:v>
                </c:pt>
                <c:pt idx="127">
                  <c:v>953253.20675999601</c:v>
                </c:pt>
                <c:pt idx="128">
                  <c:v>949995.71907999611</c:v>
                </c:pt>
                <c:pt idx="129">
                  <c:v>954725.247119996</c:v>
                </c:pt>
                <c:pt idx="130">
                  <c:v>953207.16017999593</c:v>
                </c:pt>
                <c:pt idx="131">
                  <c:v>974400.61305999605</c:v>
                </c:pt>
                <c:pt idx="132">
                  <c:v>999328.82367999596</c:v>
                </c:pt>
                <c:pt idx="133">
                  <c:v>1033550.566819996</c:v>
                </c:pt>
                <c:pt idx="134">
                  <c:v>1002291.3296999959</c:v>
                </c:pt>
                <c:pt idx="135">
                  <c:v>1017119.901559994</c:v>
                </c:pt>
                <c:pt idx="136">
                  <c:v>1028080.798159994</c:v>
                </c:pt>
                <c:pt idx="137">
                  <c:v>1043009.1278999939</c:v>
                </c:pt>
                <c:pt idx="138">
                  <c:v>1029306.658999994</c:v>
                </c:pt>
                <c:pt idx="139">
                  <c:v>1012097.428319994</c:v>
                </c:pt>
                <c:pt idx="140">
                  <c:v>1038457.426359994</c:v>
                </c:pt>
                <c:pt idx="141">
                  <c:v>1030984.7482199941</c:v>
                </c:pt>
                <c:pt idx="142">
                  <c:v>1015457.7478599939</c:v>
                </c:pt>
                <c:pt idx="143">
                  <c:v>997261.88505999406</c:v>
                </c:pt>
                <c:pt idx="144">
                  <c:v>999075.41683999391</c:v>
                </c:pt>
                <c:pt idx="145">
                  <c:v>1004445.877899996</c:v>
                </c:pt>
                <c:pt idx="146">
                  <c:v>1010650.741079996</c:v>
                </c:pt>
                <c:pt idx="147">
                  <c:v>1024465.310999996</c:v>
                </c:pt>
                <c:pt idx="148">
                  <c:v>1029616.7070999959</c:v>
                </c:pt>
                <c:pt idx="149">
                  <c:v>1037581.8300199959</c:v>
                </c:pt>
                <c:pt idx="150">
                  <c:v>1029453.576519998</c:v>
                </c:pt>
                <c:pt idx="151">
                  <c:v>1019244.780099996</c:v>
                </c:pt>
                <c:pt idx="152">
                  <c:v>1010248.9083399961</c:v>
                </c:pt>
                <c:pt idx="153">
                  <c:v>1027974.5458199959</c:v>
                </c:pt>
                <c:pt idx="154">
                  <c:v>1039766.044519996</c:v>
                </c:pt>
                <c:pt idx="155">
                  <c:v>1036454.5559199961</c:v>
                </c:pt>
                <c:pt idx="156">
                  <c:v>1017632.9417399981</c:v>
                </c:pt>
                <c:pt idx="157">
                  <c:v>1027298.229079996</c:v>
                </c:pt>
                <c:pt idx="158">
                  <c:v>1022800.065279996</c:v>
                </c:pt>
                <c:pt idx="159">
                  <c:v>1011814.559679996</c:v>
                </c:pt>
                <c:pt idx="160">
                  <c:v>1015944.106099996</c:v>
                </c:pt>
                <c:pt idx="161">
                  <c:v>1023708.551659996</c:v>
                </c:pt>
                <c:pt idx="162">
                  <c:v>1037446.002259996</c:v>
                </c:pt>
                <c:pt idx="163">
                  <c:v>1040952.775199996</c:v>
                </c:pt>
                <c:pt idx="164">
                  <c:v>1041466.7912199959</c:v>
                </c:pt>
                <c:pt idx="165">
                  <c:v>1050408.762499996</c:v>
                </c:pt>
                <c:pt idx="166">
                  <c:v>1040143.2549199959</c:v>
                </c:pt>
                <c:pt idx="167">
                  <c:v>1037595.087339998</c:v>
                </c:pt>
                <c:pt idx="168">
                  <c:v>1032933.700859998</c:v>
                </c:pt>
                <c:pt idx="169">
                  <c:v>1032790.589599998</c:v>
                </c:pt>
                <c:pt idx="170">
                  <c:v>1025145.4624399981</c:v>
                </c:pt>
                <c:pt idx="171">
                  <c:v>1027993.989499998</c:v>
                </c:pt>
                <c:pt idx="172">
                  <c:v>1036700.2047399979</c:v>
                </c:pt>
                <c:pt idx="173">
                  <c:v>1038747.5033199961</c:v>
                </c:pt>
                <c:pt idx="174">
                  <c:v>1008384.9967799981</c:v>
                </c:pt>
                <c:pt idx="175">
                  <c:v>1012086.322899996</c:v>
                </c:pt>
                <c:pt idx="176">
                  <c:v>1012306.857799996</c:v>
                </c:pt>
                <c:pt idx="177">
                  <c:v>1012724.3142399959</c:v>
                </c:pt>
                <c:pt idx="178">
                  <c:v>1005953.1630399959</c:v>
                </c:pt>
                <c:pt idx="179">
                  <c:v>999183.15865999612</c:v>
                </c:pt>
                <c:pt idx="180">
                  <c:v>993903.45959999808</c:v>
                </c:pt>
                <c:pt idx="181">
                  <c:v>994313.38675999804</c:v>
                </c:pt>
                <c:pt idx="182">
                  <c:v>989907.83421999798</c:v>
                </c:pt>
                <c:pt idx="183">
                  <c:v>1005684.1577799979</c:v>
                </c:pt>
                <c:pt idx="184">
                  <c:v>1008607.0765399979</c:v>
                </c:pt>
                <c:pt idx="185">
                  <c:v>1002852.0545399981</c:v>
                </c:pt>
                <c:pt idx="186">
                  <c:v>1006327.5547599981</c:v>
                </c:pt>
                <c:pt idx="187">
                  <c:v>1013919.252059998</c:v>
                </c:pt>
                <c:pt idx="188">
                  <c:v>1001063.375079998</c:v>
                </c:pt>
                <c:pt idx="189">
                  <c:v>968070.74215999804</c:v>
                </c:pt>
                <c:pt idx="190">
                  <c:v>954390.25131999794</c:v>
                </c:pt>
                <c:pt idx="191">
                  <c:v>954882.99229999795</c:v>
                </c:pt>
                <c:pt idx="192">
                  <c:v>975974.661399998</c:v>
                </c:pt>
                <c:pt idx="193">
                  <c:v>970890.48537999799</c:v>
                </c:pt>
                <c:pt idx="194">
                  <c:v>973554.61103999801</c:v>
                </c:pt>
                <c:pt idx="195">
                  <c:v>944691.48779999802</c:v>
                </c:pt>
                <c:pt idx="196">
                  <c:v>945386.50039999804</c:v>
                </c:pt>
                <c:pt idx="197">
                  <c:v>966972.20715999813</c:v>
                </c:pt>
                <c:pt idx="198">
                  <c:v>941015.83069999795</c:v>
                </c:pt>
                <c:pt idx="199">
                  <c:v>944996.38083999814</c:v>
                </c:pt>
                <c:pt idx="200">
                  <c:v>929727.52343999804</c:v>
                </c:pt>
                <c:pt idx="201">
                  <c:v>935504.24253999791</c:v>
                </c:pt>
                <c:pt idx="202">
                  <c:v>962703.80821999791</c:v>
                </c:pt>
                <c:pt idx="203">
                  <c:v>954519.14033999795</c:v>
                </c:pt>
                <c:pt idx="204">
                  <c:v>968002.35481999593</c:v>
                </c:pt>
                <c:pt idx="205">
                  <c:v>962452.86457999586</c:v>
                </c:pt>
                <c:pt idx="206">
                  <c:v>961672.53501999809</c:v>
                </c:pt>
                <c:pt idx="207">
                  <c:v>947961.11855999811</c:v>
                </c:pt>
                <c:pt idx="208">
                  <c:v>936439.10901999811</c:v>
                </c:pt>
                <c:pt idx="209">
                  <c:v>937382.74221999792</c:v>
                </c:pt>
                <c:pt idx="210">
                  <c:v>929397.91521999799</c:v>
                </c:pt>
                <c:pt idx="211">
                  <c:v>929571.55623999797</c:v>
                </c:pt>
                <c:pt idx="212">
                  <c:v>942702.37713999802</c:v>
                </c:pt>
                <c:pt idx="213">
                  <c:v>934432.58057999588</c:v>
                </c:pt>
                <c:pt idx="214">
                  <c:v>904534.8749999979</c:v>
                </c:pt>
                <c:pt idx="215">
                  <c:v>899407.12424000003</c:v>
                </c:pt>
                <c:pt idx="216">
                  <c:v>922130.53339999798</c:v>
                </c:pt>
                <c:pt idx="217">
                  <c:v>933618.82862000004</c:v>
                </c:pt>
                <c:pt idx="218">
                  <c:v>932181.87677999795</c:v>
                </c:pt>
                <c:pt idx="219">
                  <c:v>956732.26043999789</c:v>
                </c:pt>
                <c:pt idx="220">
                  <c:v>954078.24217999796</c:v>
                </c:pt>
                <c:pt idx="221">
                  <c:v>945008.17247999797</c:v>
                </c:pt>
                <c:pt idx="222">
                  <c:v>936932.34209999791</c:v>
                </c:pt>
                <c:pt idx="223">
                  <c:v>922071.14681999793</c:v>
                </c:pt>
                <c:pt idx="224">
                  <c:v>922945.99549999798</c:v>
                </c:pt>
                <c:pt idx="225">
                  <c:v>916503.32979999797</c:v>
                </c:pt>
                <c:pt idx="226">
                  <c:v>930120.86781999806</c:v>
                </c:pt>
                <c:pt idx="227">
                  <c:v>926761.25425999798</c:v>
                </c:pt>
                <c:pt idx="228">
                  <c:v>941839.849739998</c:v>
                </c:pt>
                <c:pt idx="229">
                  <c:v>942212.03389999794</c:v>
                </c:pt>
                <c:pt idx="230">
                  <c:v>947207.66969999799</c:v>
                </c:pt>
                <c:pt idx="231">
                  <c:v>928758.55645999801</c:v>
                </c:pt>
                <c:pt idx="232">
                  <c:v>922903.71083999798</c:v>
                </c:pt>
                <c:pt idx="233">
                  <c:v>923411.44655999797</c:v>
                </c:pt>
                <c:pt idx="234">
                  <c:v>930561.56593999802</c:v>
                </c:pt>
                <c:pt idx="235">
                  <c:v>944001.47589999787</c:v>
                </c:pt>
                <c:pt idx="236">
                  <c:v>956118.89317999803</c:v>
                </c:pt>
                <c:pt idx="237">
                  <c:v>950409.819239998</c:v>
                </c:pt>
                <c:pt idx="238">
                  <c:v>954218.41225999803</c:v>
                </c:pt>
                <c:pt idx="239">
                  <c:v>952882.25469999795</c:v>
                </c:pt>
                <c:pt idx="240">
                  <c:v>955971.5124399981</c:v>
                </c:pt>
                <c:pt idx="241">
                  <c:v>966180.00957999809</c:v>
                </c:pt>
                <c:pt idx="242">
                  <c:v>968770.33047999791</c:v>
                </c:pt>
                <c:pt idx="243">
                  <c:v>971768.4934399979</c:v>
                </c:pt>
                <c:pt idx="244">
                  <c:v>966757.82853999804</c:v>
                </c:pt>
                <c:pt idx="245">
                  <c:v>957010.97619999794</c:v>
                </c:pt>
                <c:pt idx="246">
                  <c:v>948336.31057999993</c:v>
                </c:pt>
                <c:pt idx="247">
                  <c:v>955545.57305999997</c:v>
                </c:pt>
                <c:pt idx="248">
                  <c:v>953500.65645999997</c:v>
                </c:pt>
                <c:pt idx="249">
                  <c:v>937394.15637999796</c:v>
                </c:pt>
                <c:pt idx="250">
                  <c:v>928494.03589999804</c:v>
                </c:pt>
                <c:pt idx="251">
                  <c:v>920758.66691999813</c:v>
                </c:pt>
                <c:pt idx="252">
                  <c:v>917560.80491999793</c:v>
                </c:pt>
                <c:pt idx="253">
                  <c:v>916427.063979998</c:v>
                </c:pt>
                <c:pt idx="254">
                  <c:v>904107.78117999807</c:v>
                </c:pt>
                <c:pt idx="255">
                  <c:v>927882.1575799979</c:v>
                </c:pt>
                <c:pt idx="256">
                  <c:v>940358.15607999801</c:v>
                </c:pt>
                <c:pt idx="257">
                  <c:v>937367.96219999809</c:v>
                </c:pt>
                <c:pt idx="258">
                  <c:v>935751.151859998</c:v>
                </c:pt>
                <c:pt idx="259">
                  <c:v>936483.86235999805</c:v>
                </c:pt>
                <c:pt idx="260">
                  <c:v>935894.30951999803</c:v>
                </c:pt>
                <c:pt idx="261">
                  <c:v>931290.75773999805</c:v>
                </c:pt>
                <c:pt idx="262">
                  <c:v>950129.46289999806</c:v>
                </c:pt>
                <c:pt idx="263">
                  <c:v>954172.63386000006</c:v>
                </c:pt>
                <c:pt idx="264">
                  <c:v>946933.48939999996</c:v>
                </c:pt>
                <c:pt idx="265">
                  <c:v>953102.75788000005</c:v>
                </c:pt>
                <c:pt idx="266">
                  <c:v>938899.59534000012</c:v>
                </c:pt>
                <c:pt idx="267">
                  <c:v>935514.41099999996</c:v>
                </c:pt>
                <c:pt idx="268">
                  <c:v>931220.5072799999</c:v>
                </c:pt>
                <c:pt idx="269">
                  <c:v>934318.09622000006</c:v>
                </c:pt>
                <c:pt idx="270">
                  <c:v>931876.65622</c:v>
                </c:pt>
                <c:pt idx="271">
                  <c:v>929066.55171999801</c:v>
                </c:pt>
                <c:pt idx="272">
                  <c:v>926895.50267999992</c:v>
                </c:pt>
                <c:pt idx="273">
                  <c:v>930587.7351999979</c:v>
                </c:pt>
                <c:pt idx="274">
                  <c:v>939372.6925599979</c:v>
                </c:pt>
                <c:pt idx="275">
                  <c:v>944788.27435999794</c:v>
                </c:pt>
                <c:pt idx="276">
                  <c:v>955221.28791999794</c:v>
                </c:pt>
                <c:pt idx="277">
                  <c:v>957504.34971999808</c:v>
                </c:pt>
                <c:pt idx="278">
                  <c:v>953642.33545999811</c:v>
                </c:pt>
                <c:pt idx="279">
                  <c:v>943483.59537999798</c:v>
                </c:pt>
                <c:pt idx="280">
                  <c:v>947100.07571999799</c:v>
                </c:pt>
                <c:pt idx="281">
                  <c:v>939814.55979999807</c:v>
                </c:pt>
                <c:pt idx="282">
                  <c:v>954656.18285999796</c:v>
                </c:pt>
                <c:pt idx="283">
                  <c:v>955090.23643999803</c:v>
                </c:pt>
                <c:pt idx="284">
                  <c:v>965787.19179999793</c:v>
                </c:pt>
                <c:pt idx="285">
                  <c:v>969117.26233999804</c:v>
                </c:pt>
                <c:pt idx="286">
                  <c:v>966440.10285999789</c:v>
                </c:pt>
                <c:pt idx="287">
                  <c:v>946778.47911999805</c:v>
                </c:pt>
                <c:pt idx="288">
                  <c:v>939348.59705999796</c:v>
                </c:pt>
                <c:pt idx="289">
                  <c:v>958704.44953999796</c:v>
                </c:pt>
                <c:pt idx="290">
                  <c:v>973157.57735999802</c:v>
                </c:pt>
                <c:pt idx="291">
                  <c:v>976697.23563999799</c:v>
                </c:pt>
                <c:pt idx="292">
                  <c:v>960995.20607999805</c:v>
                </c:pt>
                <c:pt idx="293">
                  <c:v>958281.56593999802</c:v>
                </c:pt>
                <c:pt idx="294">
                  <c:v>952435.17051999795</c:v>
                </c:pt>
                <c:pt idx="295">
                  <c:v>960553.29351999797</c:v>
                </c:pt>
                <c:pt idx="296">
                  <c:v>963948.38091999793</c:v>
                </c:pt>
                <c:pt idx="297">
                  <c:v>958607.74121999799</c:v>
                </c:pt>
                <c:pt idx="298">
                  <c:v>950411.37435999792</c:v>
                </c:pt>
                <c:pt idx="299">
                  <c:v>957030.55123999994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7B-43D2-9B4B-D97B48B71BCA}"/>
            </c:ext>
          </c:extLst>
        </c:ser>
        <c:ser>
          <c:idx val="9"/>
          <c:order val="9"/>
          <c:tx>
            <c:strRef>
              <c:f>主板!$N$1</c:f>
              <c:strCache>
                <c:ptCount val="1"/>
                <c:pt idx="0">
                  <c:v>XGBoost_C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主板!$N$2:$N$301</c:f>
              <c:numCache>
                <c:formatCode>General</c:formatCode>
                <c:ptCount val="300"/>
                <c:pt idx="0">
                  <c:v>1000000</c:v>
                </c:pt>
                <c:pt idx="1">
                  <c:v>1029832.6025</c:v>
                </c:pt>
                <c:pt idx="2">
                  <c:v>1045679.5578</c:v>
                </c:pt>
                <c:pt idx="3">
                  <c:v>1062933.3086999981</c:v>
                </c:pt>
                <c:pt idx="4">
                  <c:v>1063310.634459998</c:v>
                </c:pt>
                <c:pt idx="5">
                  <c:v>1064093.201299998</c:v>
                </c:pt>
                <c:pt idx="6">
                  <c:v>1084785.4285399981</c:v>
                </c:pt>
                <c:pt idx="7">
                  <c:v>1072371.665959998</c:v>
                </c:pt>
                <c:pt idx="8">
                  <c:v>1059821.753959998</c:v>
                </c:pt>
                <c:pt idx="9">
                  <c:v>1032063.4980799981</c:v>
                </c:pt>
                <c:pt idx="10">
                  <c:v>1035711.0063599979</c:v>
                </c:pt>
                <c:pt idx="11">
                  <c:v>1041167.5172399979</c:v>
                </c:pt>
                <c:pt idx="12">
                  <c:v>1059988.9186599979</c:v>
                </c:pt>
                <c:pt idx="13">
                  <c:v>1055173.1206599982</c:v>
                </c:pt>
                <c:pt idx="14">
                  <c:v>1037742.822439998</c:v>
                </c:pt>
                <c:pt idx="15">
                  <c:v>1027678.591379998</c:v>
                </c:pt>
                <c:pt idx="16">
                  <c:v>1015099.2108199981</c:v>
                </c:pt>
                <c:pt idx="17">
                  <c:v>1024316.709539998</c:v>
                </c:pt>
                <c:pt idx="18">
                  <c:v>1025442.0951599979</c:v>
                </c:pt>
                <c:pt idx="19">
                  <c:v>1014340.9745799979</c:v>
                </c:pt>
                <c:pt idx="20">
                  <c:v>999785.52704000007</c:v>
                </c:pt>
                <c:pt idx="21">
                  <c:v>1003155.701739998</c:v>
                </c:pt>
                <c:pt idx="22">
                  <c:v>999126.19411999988</c:v>
                </c:pt>
                <c:pt idx="23">
                  <c:v>1001786.215639998</c:v>
                </c:pt>
                <c:pt idx="24">
                  <c:v>990691.82317999995</c:v>
                </c:pt>
                <c:pt idx="25">
                  <c:v>998895.24193999986</c:v>
                </c:pt>
                <c:pt idx="26">
                  <c:v>988066.70211999991</c:v>
                </c:pt>
                <c:pt idx="27">
                  <c:v>998106.16006000002</c:v>
                </c:pt>
                <c:pt idx="28">
                  <c:v>1007819.66888</c:v>
                </c:pt>
                <c:pt idx="29">
                  <c:v>1024179.1915</c:v>
                </c:pt>
                <c:pt idx="30">
                  <c:v>1023386.5712400001</c:v>
                </c:pt>
                <c:pt idx="31">
                  <c:v>1008945.5337200001</c:v>
                </c:pt>
                <c:pt idx="32">
                  <c:v>988034.64064000011</c:v>
                </c:pt>
                <c:pt idx="33">
                  <c:v>997910.4513800001</c:v>
                </c:pt>
                <c:pt idx="34">
                  <c:v>977269.59696</c:v>
                </c:pt>
                <c:pt idx="35">
                  <c:v>980547.02329999988</c:v>
                </c:pt>
                <c:pt idx="36">
                  <c:v>958981.02119999996</c:v>
                </c:pt>
                <c:pt idx="37">
                  <c:v>950086.40957999998</c:v>
                </c:pt>
                <c:pt idx="38">
                  <c:v>955549.54316000012</c:v>
                </c:pt>
                <c:pt idx="39">
                  <c:v>964247.07452000002</c:v>
                </c:pt>
                <c:pt idx="40">
                  <c:v>984506.73543999996</c:v>
                </c:pt>
                <c:pt idx="41">
                  <c:v>977904.73005999997</c:v>
                </c:pt>
                <c:pt idx="42">
                  <c:v>966477.8049799999</c:v>
                </c:pt>
                <c:pt idx="43">
                  <c:v>966477.8049799999</c:v>
                </c:pt>
                <c:pt idx="44">
                  <c:v>966477.8049799999</c:v>
                </c:pt>
                <c:pt idx="45">
                  <c:v>966477.8049799999</c:v>
                </c:pt>
                <c:pt idx="46">
                  <c:v>961875.24462000001</c:v>
                </c:pt>
                <c:pt idx="47">
                  <c:v>976377.45358000009</c:v>
                </c:pt>
                <c:pt idx="48">
                  <c:v>995878.98829999997</c:v>
                </c:pt>
                <c:pt idx="49">
                  <c:v>986742.84771999996</c:v>
                </c:pt>
                <c:pt idx="50">
                  <c:v>1004899.40004</c:v>
                </c:pt>
                <c:pt idx="51">
                  <c:v>987397.96243999992</c:v>
                </c:pt>
                <c:pt idx="52">
                  <c:v>989717.97366000002</c:v>
                </c:pt>
                <c:pt idx="53">
                  <c:v>975275.18063999992</c:v>
                </c:pt>
                <c:pt idx="54">
                  <c:v>979855.32996</c:v>
                </c:pt>
                <c:pt idx="55">
                  <c:v>980342.83181999996</c:v>
                </c:pt>
                <c:pt idx="56">
                  <c:v>965991.72907999996</c:v>
                </c:pt>
                <c:pt idx="57">
                  <c:v>969651.76789999998</c:v>
                </c:pt>
                <c:pt idx="58">
                  <c:v>939792.89335999987</c:v>
                </c:pt>
                <c:pt idx="59">
                  <c:v>910959.55774000008</c:v>
                </c:pt>
                <c:pt idx="60">
                  <c:v>923377.27359999996</c:v>
                </c:pt>
                <c:pt idx="61">
                  <c:v>933052.93961999996</c:v>
                </c:pt>
                <c:pt idx="62">
                  <c:v>929529.54807999986</c:v>
                </c:pt>
                <c:pt idx="63">
                  <c:v>897679.04683999997</c:v>
                </c:pt>
                <c:pt idx="64">
                  <c:v>849428.77638000005</c:v>
                </c:pt>
                <c:pt idx="65">
                  <c:v>871813.18993999995</c:v>
                </c:pt>
                <c:pt idx="66">
                  <c:v>884714.22474000009</c:v>
                </c:pt>
                <c:pt idx="67">
                  <c:v>891556.84453999996</c:v>
                </c:pt>
                <c:pt idx="68">
                  <c:v>890569.93686000002</c:v>
                </c:pt>
                <c:pt idx="69">
                  <c:v>888646.19042000012</c:v>
                </c:pt>
                <c:pt idx="70">
                  <c:v>894341.52207999991</c:v>
                </c:pt>
                <c:pt idx="71">
                  <c:v>883269.0446599999</c:v>
                </c:pt>
                <c:pt idx="72">
                  <c:v>859688.96941999998</c:v>
                </c:pt>
                <c:pt idx="73">
                  <c:v>852486.64344000001</c:v>
                </c:pt>
                <c:pt idx="74">
                  <c:v>852811.12276000006</c:v>
                </c:pt>
                <c:pt idx="75">
                  <c:v>870366.85690000001</c:v>
                </c:pt>
                <c:pt idx="76">
                  <c:v>861263.68400000001</c:v>
                </c:pt>
                <c:pt idx="77">
                  <c:v>868469.59167999995</c:v>
                </c:pt>
                <c:pt idx="78">
                  <c:v>866485.91312000004</c:v>
                </c:pt>
                <c:pt idx="79">
                  <c:v>848212.82906000002</c:v>
                </c:pt>
                <c:pt idx="80">
                  <c:v>844368.52642000001</c:v>
                </c:pt>
                <c:pt idx="81">
                  <c:v>819414.32805999997</c:v>
                </c:pt>
                <c:pt idx="82">
                  <c:v>826383.16443999996</c:v>
                </c:pt>
                <c:pt idx="83">
                  <c:v>814122.19148000004</c:v>
                </c:pt>
                <c:pt idx="84">
                  <c:v>821901.04</c:v>
                </c:pt>
                <c:pt idx="85">
                  <c:v>821639.56660000002</c:v>
                </c:pt>
                <c:pt idx="86">
                  <c:v>826185.62702000001</c:v>
                </c:pt>
                <c:pt idx="87">
                  <c:v>823084.79444000009</c:v>
                </c:pt>
                <c:pt idx="88">
                  <c:v>814824.48971999798</c:v>
                </c:pt>
                <c:pt idx="89">
                  <c:v>791361.13483999996</c:v>
                </c:pt>
                <c:pt idx="90">
                  <c:v>788032.55733999796</c:v>
                </c:pt>
                <c:pt idx="91">
                  <c:v>747160.81677999801</c:v>
                </c:pt>
                <c:pt idx="92">
                  <c:v>727029.52662000002</c:v>
                </c:pt>
                <c:pt idx="93">
                  <c:v>751508.84357999999</c:v>
                </c:pt>
                <c:pt idx="94">
                  <c:v>753970.09632000001</c:v>
                </c:pt>
                <c:pt idx="95">
                  <c:v>776070.23685999995</c:v>
                </c:pt>
                <c:pt idx="96">
                  <c:v>784257.55092000007</c:v>
                </c:pt>
                <c:pt idx="97">
                  <c:v>764556.24510000006</c:v>
                </c:pt>
                <c:pt idx="98">
                  <c:v>764767.44759999996</c:v>
                </c:pt>
                <c:pt idx="99">
                  <c:v>782732.96940000006</c:v>
                </c:pt>
                <c:pt idx="100">
                  <c:v>815015.18313999998</c:v>
                </c:pt>
                <c:pt idx="101">
                  <c:v>816684.24517999997</c:v>
                </c:pt>
                <c:pt idx="102">
                  <c:v>812069.62372000003</c:v>
                </c:pt>
                <c:pt idx="103">
                  <c:v>804390.90889999992</c:v>
                </c:pt>
                <c:pt idx="104">
                  <c:v>806318.51003999996</c:v>
                </c:pt>
                <c:pt idx="105">
                  <c:v>797660.17060000007</c:v>
                </c:pt>
                <c:pt idx="106">
                  <c:v>787240.74393999996</c:v>
                </c:pt>
                <c:pt idx="107">
                  <c:v>799547.23901999998</c:v>
                </c:pt>
                <c:pt idx="108">
                  <c:v>802239.41226000001</c:v>
                </c:pt>
                <c:pt idx="109">
                  <c:v>784794.62702000001</c:v>
                </c:pt>
                <c:pt idx="110">
                  <c:v>786271.47950000002</c:v>
                </c:pt>
                <c:pt idx="111">
                  <c:v>785394.90284</c:v>
                </c:pt>
                <c:pt idx="112">
                  <c:v>805672.93499999994</c:v>
                </c:pt>
                <c:pt idx="113">
                  <c:v>826891.32024000003</c:v>
                </c:pt>
                <c:pt idx="114">
                  <c:v>841048.82667999994</c:v>
                </c:pt>
                <c:pt idx="115">
                  <c:v>848712.70901999995</c:v>
                </c:pt>
                <c:pt idx="116">
                  <c:v>858913.45737999992</c:v>
                </c:pt>
                <c:pt idx="117">
                  <c:v>894905.59810000006</c:v>
                </c:pt>
                <c:pt idx="118">
                  <c:v>896794.44212000002</c:v>
                </c:pt>
                <c:pt idx="119">
                  <c:v>911375.47674000007</c:v>
                </c:pt>
                <c:pt idx="120">
                  <c:v>896317.55184000009</c:v>
                </c:pt>
                <c:pt idx="121">
                  <c:v>921444.51630000002</c:v>
                </c:pt>
                <c:pt idx="122">
                  <c:v>935191.07168000005</c:v>
                </c:pt>
                <c:pt idx="123">
                  <c:v>953987.54443999997</c:v>
                </c:pt>
                <c:pt idx="124">
                  <c:v>963743.26637999993</c:v>
                </c:pt>
                <c:pt idx="125">
                  <c:v>983924.04055999999</c:v>
                </c:pt>
                <c:pt idx="126">
                  <c:v>991189.91410000005</c:v>
                </c:pt>
                <c:pt idx="127">
                  <c:v>1003291.5411599999</c:v>
                </c:pt>
                <c:pt idx="128">
                  <c:v>1010043.37426</c:v>
                </c:pt>
                <c:pt idx="129">
                  <c:v>1023625.88904</c:v>
                </c:pt>
                <c:pt idx="130">
                  <c:v>1019416.1448000001</c:v>
                </c:pt>
                <c:pt idx="131">
                  <c:v>1036793.0826999999</c:v>
                </c:pt>
                <c:pt idx="132">
                  <c:v>1066823.3425</c:v>
                </c:pt>
                <c:pt idx="133">
                  <c:v>1100278.3394200001</c:v>
                </c:pt>
                <c:pt idx="134">
                  <c:v>1065332.3702199999</c:v>
                </c:pt>
                <c:pt idx="135">
                  <c:v>1079431.9767200002</c:v>
                </c:pt>
                <c:pt idx="136">
                  <c:v>1091461.2420000001</c:v>
                </c:pt>
                <c:pt idx="137">
                  <c:v>1118347.2111800001</c:v>
                </c:pt>
                <c:pt idx="138">
                  <c:v>1102401.7208</c:v>
                </c:pt>
                <c:pt idx="139">
                  <c:v>1087948.4502399999</c:v>
                </c:pt>
                <c:pt idx="140">
                  <c:v>1134319.1892000001</c:v>
                </c:pt>
                <c:pt idx="141">
                  <c:v>1165023.4771199999</c:v>
                </c:pt>
                <c:pt idx="142">
                  <c:v>1142382.88904</c:v>
                </c:pt>
                <c:pt idx="143">
                  <c:v>1126599.4722200001</c:v>
                </c:pt>
                <c:pt idx="144">
                  <c:v>1129380.2413799982</c:v>
                </c:pt>
                <c:pt idx="145">
                  <c:v>1120917.7534799981</c:v>
                </c:pt>
                <c:pt idx="146">
                  <c:v>1147782.218639998</c:v>
                </c:pt>
                <c:pt idx="147">
                  <c:v>1164794.3446999979</c:v>
                </c:pt>
                <c:pt idx="148">
                  <c:v>1160436.2645199981</c:v>
                </c:pt>
                <c:pt idx="149">
                  <c:v>1167705.6694799981</c:v>
                </c:pt>
                <c:pt idx="150">
                  <c:v>1157338.703139998</c:v>
                </c:pt>
                <c:pt idx="151">
                  <c:v>1139345.8814199981</c:v>
                </c:pt>
                <c:pt idx="152">
                  <c:v>1133264.6690599979</c:v>
                </c:pt>
                <c:pt idx="153">
                  <c:v>1163209.180759998</c:v>
                </c:pt>
                <c:pt idx="154">
                  <c:v>1188521.136079998</c:v>
                </c:pt>
                <c:pt idx="155">
                  <c:v>1187440.3216399981</c:v>
                </c:pt>
                <c:pt idx="156">
                  <c:v>1158562.1941999979</c:v>
                </c:pt>
                <c:pt idx="157">
                  <c:v>1176067.2255599999</c:v>
                </c:pt>
                <c:pt idx="158">
                  <c:v>1172984.2804199981</c:v>
                </c:pt>
                <c:pt idx="159">
                  <c:v>1165086.1544199982</c:v>
                </c:pt>
                <c:pt idx="160">
                  <c:v>1172087.686899998</c:v>
                </c:pt>
                <c:pt idx="161">
                  <c:v>1182178.669139998</c:v>
                </c:pt>
                <c:pt idx="162">
                  <c:v>1192185.006279998</c:v>
                </c:pt>
                <c:pt idx="163">
                  <c:v>1197229.2542399981</c:v>
                </c:pt>
                <c:pt idx="164">
                  <c:v>1196057.7293199981</c:v>
                </c:pt>
                <c:pt idx="165">
                  <c:v>1210030.1766199979</c:v>
                </c:pt>
                <c:pt idx="166">
                  <c:v>1206988.4632199979</c:v>
                </c:pt>
                <c:pt idx="167">
                  <c:v>1202474.5563799979</c:v>
                </c:pt>
                <c:pt idx="168">
                  <c:v>1199087.3664599978</c:v>
                </c:pt>
                <c:pt idx="169">
                  <c:v>1202153.9135799981</c:v>
                </c:pt>
                <c:pt idx="170">
                  <c:v>1190636.2271799981</c:v>
                </c:pt>
                <c:pt idx="171">
                  <c:v>1189872.9556399998</c:v>
                </c:pt>
                <c:pt idx="172">
                  <c:v>1196123.0441999999</c:v>
                </c:pt>
                <c:pt idx="173">
                  <c:v>1193744.2186799999</c:v>
                </c:pt>
                <c:pt idx="174">
                  <c:v>1159641.3655999999</c:v>
                </c:pt>
                <c:pt idx="175">
                  <c:v>1162200.1847399999</c:v>
                </c:pt>
                <c:pt idx="176">
                  <c:v>1160912.3105800019</c:v>
                </c:pt>
                <c:pt idx="177">
                  <c:v>1158964.614500002</c:v>
                </c:pt>
                <c:pt idx="178">
                  <c:v>1151012.6831000021</c:v>
                </c:pt>
                <c:pt idx="179">
                  <c:v>1141091.077220002</c:v>
                </c:pt>
                <c:pt idx="180">
                  <c:v>1129977.7422199999</c:v>
                </c:pt>
                <c:pt idx="181">
                  <c:v>1129520.821320002</c:v>
                </c:pt>
                <c:pt idx="182">
                  <c:v>1123634.32082</c:v>
                </c:pt>
                <c:pt idx="183">
                  <c:v>1137866.37268</c:v>
                </c:pt>
                <c:pt idx="184">
                  <c:v>1135022.5094599999</c:v>
                </c:pt>
                <c:pt idx="185">
                  <c:v>1127071.79742</c:v>
                </c:pt>
                <c:pt idx="186">
                  <c:v>1130097.9701799999</c:v>
                </c:pt>
                <c:pt idx="187">
                  <c:v>1147904.3198799998</c:v>
                </c:pt>
                <c:pt idx="188">
                  <c:v>1146755.8598799999</c:v>
                </c:pt>
                <c:pt idx="189">
                  <c:v>1107156.8889599999</c:v>
                </c:pt>
                <c:pt idx="190">
                  <c:v>1085337.9700399979</c:v>
                </c:pt>
                <c:pt idx="191">
                  <c:v>1077429.07024</c:v>
                </c:pt>
                <c:pt idx="192">
                  <c:v>1091877.3697200001</c:v>
                </c:pt>
                <c:pt idx="193">
                  <c:v>1084396.8918999999</c:v>
                </c:pt>
                <c:pt idx="194">
                  <c:v>1088537.8348600001</c:v>
                </c:pt>
                <c:pt idx="195">
                  <c:v>1054605.294619998</c:v>
                </c:pt>
                <c:pt idx="196">
                  <c:v>1064330.5006399979</c:v>
                </c:pt>
                <c:pt idx="197">
                  <c:v>1099201.906539998</c:v>
                </c:pt>
                <c:pt idx="198">
                  <c:v>1071630.727299998</c:v>
                </c:pt>
                <c:pt idx="199">
                  <c:v>1061955.306819998</c:v>
                </c:pt>
                <c:pt idx="200">
                  <c:v>1035901.572019998</c:v>
                </c:pt>
                <c:pt idx="201">
                  <c:v>1039981.7764399979</c:v>
                </c:pt>
                <c:pt idx="202">
                  <c:v>1058939.5214599981</c:v>
                </c:pt>
                <c:pt idx="203">
                  <c:v>1055882.669099998</c:v>
                </c:pt>
                <c:pt idx="204">
                  <c:v>1081678.7613999979</c:v>
                </c:pt>
                <c:pt idx="205">
                  <c:v>1085469.021879998</c:v>
                </c:pt>
                <c:pt idx="206">
                  <c:v>1085944.4341399982</c:v>
                </c:pt>
                <c:pt idx="207">
                  <c:v>1073265.631519998</c:v>
                </c:pt>
                <c:pt idx="208">
                  <c:v>1057610.9181799979</c:v>
                </c:pt>
                <c:pt idx="209">
                  <c:v>1053931.087279998</c:v>
                </c:pt>
                <c:pt idx="210">
                  <c:v>1037424.871879998</c:v>
                </c:pt>
                <c:pt idx="211">
                  <c:v>1036069.102319998</c:v>
                </c:pt>
                <c:pt idx="212">
                  <c:v>1050271.8679</c:v>
                </c:pt>
                <c:pt idx="213">
                  <c:v>1043929.931979998</c:v>
                </c:pt>
                <c:pt idx="214">
                  <c:v>1010950.598899998</c:v>
                </c:pt>
                <c:pt idx="215">
                  <c:v>1004893.317959998</c:v>
                </c:pt>
                <c:pt idx="216">
                  <c:v>1032652.155799998</c:v>
                </c:pt>
                <c:pt idx="217">
                  <c:v>1047833.3341399981</c:v>
                </c:pt>
                <c:pt idx="218">
                  <c:v>1046406.072119998</c:v>
                </c:pt>
                <c:pt idx="219">
                  <c:v>1074857.1010599979</c:v>
                </c:pt>
                <c:pt idx="220">
                  <c:v>1076007.843119998</c:v>
                </c:pt>
                <c:pt idx="221">
                  <c:v>1065693.7499999979</c:v>
                </c:pt>
                <c:pt idx="222">
                  <c:v>1055945.2556799981</c:v>
                </c:pt>
                <c:pt idx="223">
                  <c:v>1038180.1313799979</c:v>
                </c:pt>
                <c:pt idx="224">
                  <c:v>1054023.8193199979</c:v>
                </c:pt>
                <c:pt idx="225">
                  <c:v>1040677.8016599979</c:v>
                </c:pt>
                <c:pt idx="226">
                  <c:v>1056232.7809799979</c:v>
                </c:pt>
                <c:pt idx="227">
                  <c:v>1051440.1769799979</c:v>
                </c:pt>
                <c:pt idx="228">
                  <c:v>1069809.9158799979</c:v>
                </c:pt>
                <c:pt idx="229">
                  <c:v>1067366.6083999979</c:v>
                </c:pt>
                <c:pt idx="230">
                  <c:v>1069167.403179998</c:v>
                </c:pt>
                <c:pt idx="231">
                  <c:v>1049446.0361999979</c:v>
                </c:pt>
                <c:pt idx="232">
                  <c:v>1044417.0969599981</c:v>
                </c:pt>
                <c:pt idx="233">
                  <c:v>1044541.9830399981</c:v>
                </c:pt>
                <c:pt idx="234">
                  <c:v>1039450.2133999979</c:v>
                </c:pt>
                <c:pt idx="235">
                  <c:v>1046341.606479998</c:v>
                </c:pt>
                <c:pt idx="236">
                  <c:v>1059698.0368399979</c:v>
                </c:pt>
                <c:pt idx="237">
                  <c:v>1059093.626199998</c:v>
                </c:pt>
                <c:pt idx="238">
                  <c:v>1064935.470499998</c:v>
                </c:pt>
                <c:pt idx="239">
                  <c:v>1067106.8611399981</c:v>
                </c:pt>
                <c:pt idx="240">
                  <c:v>1073227.2005799981</c:v>
                </c:pt>
                <c:pt idx="241">
                  <c:v>1081683.358559998</c:v>
                </c:pt>
                <c:pt idx="242">
                  <c:v>1080908.2123799981</c:v>
                </c:pt>
                <c:pt idx="243">
                  <c:v>1087070.9146799981</c:v>
                </c:pt>
                <c:pt idx="244">
                  <c:v>1079949.612899998</c:v>
                </c:pt>
                <c:pt idx="245">
                  <c:v>1067207.4137999979</c:v>
                </c:pt>
                <c:pt idx="246">
                  <c:v>1060516.784719998</c:v>
                </c:pt>
                <c:pt idx="247">
                  <c:v>1069365.483659998</c:v>
                </c:pt>
                <c:pt idx="248">
                  <c:v>1067099.2600199981</c:v>
                </c:pt>
                <c:pt idx="249">
                  <c:v>1041182.8791999981</c:v>
                </c:pt>
                <c:pt idx="250">
                  <c:v>1026593.6406999979</c:v>
                </c:pt>
                <c:pt idx="251">
                  <c:v>1015074.7393599979</c:v>
                </c:pt>
                <c:pt idx="252">
                  <c:v>1018941.6984999981</c:v>
                </c:pt>
                <c:pt idx="253">
                  <c:v>1013928.002579998</c:v>
                </c:pt>
                <c:pt idx="254">
                  <c:v>1006284.6588799979</c:v>
                </c:pt>
                <c:pt idx="255">
                  <c:v>1035483.5366199979</c:v>
                </c:pt>
                <c:pt idx="256">
                  <c:v>1048162.793199998</c:v>
                </c:pt>
                <c:pt idx="257">
                  <c:v>1041656.416859998</c:v>
                </c:pt>
                <c:pt idx="258">
                  <c:v>1041456.917839998</c:v>
                </c:pt>
                <c:pt idx="259">
                  <c:v>1047835.593819998</c:v>
                </c:pt>
                <c:pt idx="260">
                  <c:v>1048924.818199998</c:v>
                </c:pt>
                <c:pt idx="261">
                  <c:v>1055692.3972199981</c:v>
                </c:pt>
                <c:pt idx="262">
                  <c:v>1076465.255979998</c:v>
                </c:pt>
                <c:pt idx="263">
                  <c:v>1089016.1192399981</c:v>
                </c:pt>
                <c:pt idx="264">
                  <c:v>1084424.889019998</c:v>
                </c:pt>
                <c:pt idx="265">
                  <c:v>1103243.9565199981</c:v>
                </c:pt>
                <c:pt idx="266">
                  <c:v>1096026.2038799981</c:v>
                </c:pt>
                <c:pt idx="267">
                  <c:v>1095739.890059998</c:v>
                </c:pt>
                <c:pt idx="268">
                  <c:v>1093191.2862399979</c:v>
                </c:pt>
                <c:pt idx="269">
                  <c:v>1096917.2687999981</c:v>
                </c:pt>
                <c:pt idx="270">
                  <c:v>1096620.8116799979</c:v>
                </c:pt>
                <c:pt idx="271">
                  <c:v>1090853.899899998</c:v>
                </c:pt>
                <c:pt idx="272">
                  <c:v>1091057.7210799982</c:v>
                </c:pt>
                <c:pt idx="273">
                  <c:v>1099517.7400599981</c:v>
                </c:pt>
                <c:pt idx="274">
                  <c:v>1108931.309579998</c:v>
                </c:pt>
                <c:pt idx="275">
                  <c:v>1115970.6598199981</c:v>
                </c:pt>
                <c:pt idx="276">
                  <c:v>1127405.147119998</c:v>
                </c:pt>
                <c:pt idx="277">
                  <c:v>1130587.8777199979</c:v>
                </c:pt>
                <c:pt idx="278">
                  <c:v>1127280.785639998</c:v>
                </c:pt>
                <c:pt idx="279">
                  <c:v>1116863.886199998</c:v>
                </c:pt>
                <c:pt idx="280">
                  <c:v>1122060.303399998</c:v>
                </c:pt>
                <c:pt idx="281">
                  <c:v>1112691.6371999981</c:v>
                </c:pt>
                <c:pt idx="282">
                  <c:v>1132432.2603599981</c:v>
                </c:pt>
                <c:pt idx="283">
                  <c:v>1134628.798759996</c:v>
                </c:pt>
                <c:pt idx="284">
                  <c:v>1147849.8346799961</c:v>
                </c:pt>
                <c:pt idx="285">
                  <c:v>1152260.4175199959</c:v>
                </c:pt>
                <c:pt idx="286">
                  <c:v>1151464.9164999961</c:v>
                </c:pt>
                <c:pt idx="287">
                  <c:v>1127283.565159996</c:v>
                </c:pt>
                <c:pt idx="288">
                  <c:v>1124062.5096399959</c:v>
                </c:pt>
                <c:pt idx="289">
                  <c:v>1147088.654719996</c:v>
                </c:pt>
                <c:pt idx="290">
                  <c:v>1164561.6090399961</c:v>
                </c:pt>
                <c:pt idx="291">
                  <c:v>1163989.852219996</c:v>
                </c:pt>
                <c:pt idx="292">
                  <c:v>1145265.9710799961</c:v>
                </c:pt>
                <c:pt idx="293">
                  <c:v>1145170.6523799959</c:v>
                </c:pt>
                <c:pt idx="294">
                  <c:v>1141522.424279996</c:v>
                </c:pt>
                <c:pt idx="295">
                  <c:v>1155398.8451599958</c:v>
                </c:pt>
                <c:pt idx="296">
                  <c:v>1161056.031219996</c:v>
                </c:pt>
                <c:pt idx="297">
                  <c:v>1155333.772559996</c:v>
                </c:pt>
                <c:pt idx="298">
                  <c:v>1147311.6482199959</c:v>
                </c:pt>
                <c:pt idx="299">
                  <c:v>1158025.4924399978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7B-43D2-9B4B-D97B48B71BCA}"/>
            </c:ext>
          </c:extLst>
        </c:ser>
        <c:ser>
          <c:idx val="10"/>
          <c:order val="10"/>
          <c:tx>
            <c:strRef>
              <c:f>主板!$O$1</c:f>
              <c:strCache>
                <c:ptCount val="1"/>
                <c:pt idx="0">
                  <c:v>LambdaRank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主板!$O$2:$O$301</c:f>
              <c:numCache>
                <c:formatCode>General</c:formatCode>
                <c:ptCount val="300"/>
                <c:pt idx="0">
                  <c:v>1000000</c:v>
                </c:pt>
                <c:pt idx="1">
                  <c:v>1031612.04926</c:v>
                </c:pt>
                <c:pt idx="2">
                  <c:v>1023468.02116</c:v>
                </c:pt>
                <c:pt idx="3">
                  <c:v>1032879.15338</c:v>
                </c:pt>
                <c:pt idx="4">
                  <c:v>1025633.5357000001</c:v>
                </c:pt>
                <c:pt idx="5">
                  <c:v>1032149.8441199999</c:v>
                </c:pt>
                <c:pt idx="6">
                  <c:v>1060579.6044399999</c:v>
                </c:pt>
                <c:pt idx="7">
                  <c:v>1074144.954999998</c:v>
                </c:pt>
                <c:pt idx="8">
                  <c:v>1071509.05366</c:v>
                </c:pt>
                <c:pt idx="9">
                  <c:v>1059382.707819998</c:v>
                </c:pt>
                <c:pt idx="10">
                  <c:v>1089484.295599998</c:v>
                </c:pt>
                <c:pt idx="11">
                  <c:v>1098850.7640399979</c:v>
                </c:pt>
                <c:pt idx="12">
                  <c:v>1121262.0382199981</c:v>
                </c:pt>
                <c:pt idx="13">
                  <c:v>1136833.2053599979</c:v>
                </c:pt>
                <c:pt idx="14">
                  <c:v>1130724.252859998</c:v>
                </c:pt>
                <c:pt idx="15">
                  <c:v>1126058.6093999981</c:v>
                </c:pt>
                <c:pt idx="16">
                  <c:v>1136513.146139998</c:v>
                </c:pt>
                <c:pt idx="17">
                  <c:v>1144482.577619998</c:v>
                </c:pt>
                <c:pt idx="18">
                  <c:v>1143292.5708799982</c:v>
                </c:pt>
                <c:pt idx="19">
                  <c:v>1119282.070519998</c:v>
                </c:pt>
                <c:pt idx="20">
                  <c:v>1094882.0438399981</c:v>
                </c:pt>
                <c:pt idx="21">
                  <c:v>1112648.2780999981</c:v>
                </c:pt>
                <c:pt idx="22">
                  <c:v>1101447.1699399981</c:v>
                </c:pt>
                <c:pt idx="23">
                  <c:v>1094144.783039998</c:v>
                </c:pt>
                <c:pt idx="24">
                  <c:v>1079392.763499998</c:v>
                </c:pt>
                <c:pt idx="25">
                  <c:v>1089847.8371999981</c:v>
                </c:pt>
                <c:pt idx="26">
                  <c:v>1080453.7119599979</c:v>
                </c:pt>
                <c:pt idx="27">
                  <c:v>1109092.8369599979</c:v>
                </c:pt>
                <c:pt idx="28">
                  <c:v>1182252.619359998</c:v>
                </c:pt>
                <c:pt idx="29">
                  <c:v>1160242.547219998</c:v>
                </c:pt>
                <c:pt idx="30">
                  <c:v>1142782.0331399979</c:v>
                </c:pt>
                <c:pt idx="31">
                  <c:v>1115843.770899998</c:v>
                </c:pt>
                <c:pt idx="32">
                  <c:v>1093365.5024799979</c:v>
                </c:pt>
                <c:pt idx="33">
                  <c:v>1093849.610759998</c:v>
                </c:pt>
                <c:pt idx="34">
                  <c:v>1084249.3354999979</c:v>
                </c:pt>
                <c:pt idx="35">
                  <c:v>1078310.1255799981</c:v>
                </c:pt>
                <c:pt idx="36">
                  <c:v>1044761.1038399979</c:v>
                </c:pt>
                <c:pt idx="37">
                  <c:v>1041981.437019998</c:v>
                </c:pt>
                <c:pt idx="38">
                  <c:v>1065594.5964399981</c:v>
                </c:pt>
                <c:pt idx="39">
                  <c:v>1085338.563119998</c:v>
                </c:pt>
                <c:pt idx="40">
                  <c:v>1107919.8268399979</c:v>
                </c:pt>
                <c:pt idx="41">
                  <c:v>1094419.0176999981</c:v>
                </c:pt>
                <c:pt idx="42">
                  <c:v>1076396.399779998</c:v>
                </c:pt>
                <c:pt idx="43">
                  <c:v>1076396.399779998</c:v>
                </c:pt>
                <c:pt idx="44">
                  <c:v>1076396.399779998</c:v>
                </c:pt>
                <c:pt idx="45">
                  <c:v>1076396.399779998</c:v>
                </c:pt>
                <c:pt idx="46">
                  <c:v>1041041.049319998</c:v>
                </c:pt>
                <c:pt idx="47">
                  <c:v>1031719.494059998</c:v>
                </c:pt>
                <c:pt idx="48">
                  <c:v>1027358.0584999981</c:v>
                </c:pt>
                <c:pt idx="49">
                  <c:v>1025763.2649199979</c:v>
                </c:pt>
                <c:pt idx="50">
                  <c:v>1037213.3758999979</c:v>
                </c:pt>
                <c:pt idx="51">
                  <c:v>1024653.900699998</c:v>
                </c:pt>
                <c:pt idx="52">
                  <c:v>1019486.808599998</c:v>
                </c:pt>
                <c:pt idx="53">
                  <c:v>1054217.3161399979</c:v>
                </c:pt>
                <c:pt idx="54">
                  <c:v>1077385.5636199978</c:v>
                </c:pt>
                <c:pt idx="55">
                  <c:v>1076226.1937599978</c:v>
                </c:pt>
                <c:pt idx="56">
                  <c:v>1048518.7852199979</c:v>
                </c:pt>
                <c:pt idx="57">
                  <c:v>1043309.935279998</c:v>
                </c:pt>
                <c:pt idx="58">
                  <c:v>1017830.887019998</c:v>
                </c:pt>
                <c:pt idx="59">
                  <c:v>956389.69349999796</c:v>
                </c:pt>
                <c:pt idx="60">
                  <c:v>957124.75577999803</c:v>
                </c:pt>
                <c:pt idx="61">
                  <c:v>969876.91199999803</c:v>
                </c:pt>
                <c:pt idx="62">
                  <c:v>961623.66225999803</c:v>
                </c:pt>
                <c:pt idx="63">
                  <c:v>951944.89005999803</c:v>
                </c:pt>
                <c:pt idx="64">
                  <c:v>908220.49951999797</c:v>
                </c:pt>
                <c:pt idx="65">
                  <c:v>936839.0431399981</c:v>
                </c:pt>
                <c:pt idx="66">
                  <c:v>971226.25353999808</c:v>
                </c:pt>
                <c:pt idx="67">
                  <c:v>966013.51405999786</c:v>
                </c:pt>
                <c:pt idx="68">
                  <c:v>941845.40027999808</c:v>
                </c:pt>
                <c:pt idx="69">
                  <c:v>943695.03225999791</c:v>
                </c:pt>
                <c:pt idx="70">
                  <c:v>952620.73457999807</c:v>
                </c:pt>
                <c:pt idx="71">
                  <c:v>951497.79679999803</c:v>
                </c:pt>
                <c:pt idx="72">
                  <c:v>934061.07595999795</c:v>
                </c:pt>
                <c:pt idx="73">
                  <c:v>917782.61813999806</c:v>
                </c:pt>
                <c:pt idx="74">
                  <c:v>922287.24621999799</c:v>
                </c:pt>
                <c:pt idx="75">
                  <c:v>939407.80325999798</c:v>
                </c:pt>
                <c:pt idx="76">
                  <c:v>927439.54089999793</c:v>
                </c:pt>
                <c:pt idx="77">
                  <c:v>928915.59263999795</c:v>
                </c:pt>
                <c:pt idx="78">
                  <c:v>927745.80567999801</c:v>
                </c:pt>
                <c:pt idx="79">
                  <c:v>895077.35045999789</c:v>
                </c:pt>
                <c:pt idx="80">
                  <c:v>874169.29737999791</c:v>
                </c:pt>
                <c:pt idx="81">
                  <c:v>841051.27805999795</c:v>
                </c:pt>
                <c:pt idx="82">
                  <c:v>822148.27655999805</c:v>
                </c:pt>
                <c:pt idx="83">
                  <c:v>820956.58605999802</c:v>
                </c:pt>
                <c:pt idx="84">
                  <c:v>859919.18279999797</c:v>
                </c:pt>
                <c:pt idx="85">
                  <c:v>863672.67451999802</c:v>
                </c:pt>
                <c:pt idx="86">
                  <c:v>847932.66835999803</c:v>
                </c:pt>
                <c:pt idx="87">
                  <c:v>854020.41971999803</c:v>
                </c:pt>
                <c:pt idx="88">
                  <c:v>832688.23431999807</c:v>
                </c:pt>
                <c:pt idx="89">
                  <c:v>795075.78629999806</c:v>
                </c:pt>
                <c:pt idx="90">
                  <c:v>816712.61939999799</c:v>
                </c:pt>
                <c:pt idx="91">
                  <c:v>766959.598899998</c:v>
                </c:pt>
                <c:pt idx="92">
                  <c:v>746684.09317999799</c:v>
                </c:pt>
                <c:pt idx="93">
                  <c:v>769692.55223999801</c:v>
                </c:pt>
                <c:pt idx="94">
                  <c:v>775191.09643999801</c:v>
                </c:pt>
                <c:pt idx="95">
                  <c:v>797761.09003999806</c:v>
                </c:pt>
                <c:pt idx="96">
                  <c:v>811487.30303999805</c:v>
                </c:pt>
                <c:pt idx="97">
                  <c:v>809125.72585999803</c:v>
                </c:pt>
                <c:pt idx="98">
                  <c:v>805662.23949999805</c:v>
                </c:pt>
                <c:pt idx="99">
                  <c:v>824027.00641999801</c:v>
                </c:pt>
                <c:pt idx="100">
                  <c:v>831422.05421999795</c:v>
                </c:pt>
                <c:pt idx="101">
                  <c:v>831074.17587999802</c:v>
                </c:pt>
                <c:pt idx="102">
                  <c:v>849220.131999998</c:v>
                </c:pt>
                <c:pt idx="103">
                  <c:v>842428.04299999797</c:v>
                </c:pt>
                <c:pt idx="104">
                  <c:v>835598.07887999795</c:v>
                </c:pt>
                <c:pt idx="105">
                  <c:v>850870.23767999804</c:v>
                </c:pt>
                <c:pt idx="106">
                  <c:v>850181.29115999804</c:v>
                </c:pt>
                <c:pt idx="107">
                  <c:v>849388.83281999803</c:v>
                </c:pt>
                <c:pt idx="108">
                  <c:v>882674.72407999798</c:v>
                </c:pt>
                <c:pt idx="109">
                  <c:v>871420.09815999796</c:v>
                </c:pt>
                <c:pt idx="110">
                  <c:v>878330.74427999801</c:v>
                </c:pt>
                <c:pt idx="111">
                  <c:v>880671.38209999795</c:v>
                </c:pt>
                <c:pt idx="112">
                  <c:v>877049.70491999795</c:v>
                </c:pt>
                <c:pt idx="113">
                  <c:v>882454.95741999801</c:v>
                </c:pt>
                <c:pt idx="114">
                  <c:v>881698.52079999796</c:v>
                </c:pt>
                <c:pt idx="115">
                  <c:v>895950.90603999794</c:v>
                </c:pt>
                <c:pt idx="116">
                  <c:v>929398.31799999787</c:v>
                </c:pt>
                <c:pt idx="117">
                  <c:v>947709.12661999802</c:v>
                </c:pt>
                <c:pt idx="118">
                  <c:v>958897.73143999802</c:v>
                </c:pt>
                <c:pt idx="119">
                  <c:v>981544.81535999791</c:v>
                </c:pt>
                <c:pt idx="120">
                  <c:v>963454.35659999796</c:v>
                </c:pt>
                <c:pt idx="121">
                  <c:v>982999.29747999797</c:v>
                </c:pt>
                <c:pt idx="122">
                  <c:v>1040597.1897399981</c:v>
                </c:pt>
                <c:pt idx="123">
                  <c:v>1068508.4193399982</c:v>
                </c:pt>
                <c:pt idx="124">
                  <c:v>1054859.527199998</c:v>
                </c:pt>
                <c:pt idx="125">
                  <c:v>1071868.5271199981</c:v>
                </c:pt>
                <c:pt idx="126">
                  <c:v>1082338.091499998</c:v>
                </c:pt>
                <c:pt idx="127">
                  <c:v>1089349.234479998</c:v>
                </c:pt>
                <c:pt idx="128">
                  <c:v>1097396.7849799979</c:v>
                </c:pt>
                <c:pt idx="129">
                  <c:v>1097813.842759998</c:v>
                </c:pt>
                <c:pt idx="130">
                  <c:v>1103253.457599998</c:v>
                </c:pt>
                <c:pt idx="131">
                  <c:v>1146936.361379998</c:v>
                </c:pt>
                <c:pt idx="132">
                  <c:v>1138209.3697599978</c:v>
                </c:pt>
                <c:pt idx="133">
                  <c:v>1178461.381339998</c:v>
                </c:pt>
                <c:pt idx="134">
                  <c:v>1148857.5326199981</c:v>
                </c:pt>
                <c:pt idx="135">
                  <c:v>1125030.333819998</c:v>
                </c:pt>
                <c:pt idx="136">
                  <c:v>1153443.7610399979</c:v>
                </c:pt>
                <c:pt idx="137">
                  <c:v>1176215.5002399979</c:v>
                </c:pt>
                <c:pt idx="138">
                  <c:v>1144967.3010599981</c:v>
                </c:pt>
                <c:pt idx="139">
                  <c:v>1150717.086939998</c:v>
                </c:pt>
                <c:pt idx="140">
                  <c:v>1199822.0940199981</c:v>
                </c:pt>
                <c:pt idx="141">
                  <c:v>1224434.0184599981</c:v>
                </c:pt>
                <c:pt idx="142">
                  <c:v>1212750.028299998</c:v>
                </c:pt>
                <c:pt idx="143">
                  <c:v>1184171.564779998</c:v>
                </c:pt>
                <c:pt idx="144">
                  <c:v>1208583.2488599981</c:v>
                </c:pt>
                <c:pt idx="145">
                  <c:v>1251438.0212399981</c:v>
                </c:pt>
                <c:pt idx="146">
                  <c:v>1319018.2407399979</c:v>
                </c:pt>
                <c:pt idx="147">
                  <c:v>1324644.1313799978</c:v>
                </c:pt>
                <c:pt idx="148">
                  <c:v>1358853.3205999979</c:v>
                </c:pt>
                <c:pt idx="149">
                  <c:v>1368231.4451399981</c:v>
                </c:pt>
                <c:pt idx="150">
                  <c:v>1390375.774499998</c:v>
                </c:pt>
                <c:pt idx="151">
                  <c:v>1401803.0247999979</c:v>
                </c:pt>
                <c:pt idx="152">
                  <c:v>1395845.6207799981</c:v>
                </c:pt>
                <c:pt idx="153">
                  <c:v>1432811.143819998</c:v>
                </c:pt>
                <c:pt idx="154">
                  <c:v>1473839.469979998</c:v>
                </c:pt>
                <c:pt idx="155">
                  <c:v>1520699.0185799981</c:v>
                </c:pt>
                <c:pt idx="156">
                  <c:v>1497991.833919998</c:v>
                </c:pt>
                <c:pt idx="157">
                  <c:v>1564408.3432599981</c:v>
                </c:pt>
                <c:pt idx="158">
                  <c:v>1555289.8340199981</c:v>
                </c:pt>
                <c:pt idx="159">
                  <c:v>1552317.2977599981</c:v>
                </c:pt>
                <c:pt idx="160">
                  <c:v>1580320.4919199981</c:v>
                </c:pt>
                <c:pt idx="161">
                  <c:v>1630139.8981199979</c:v>
                </c:pt>
                <c:pt idx="162">
                  <c:v>1637768.141099998</c:v>
                </c:pt>
                <c:pt idx="163">
                  <c:v>1643859.153139998</c:v>
                </c:pt>
                <c:pt idx="164">
                  <c:v>1627055.906359998</c:v>
                </c:pt>
                <c:pt idx="165">
                  <c:v>1581397.715859998</c:v>
                </c:pt>
                <c:pt idx="166">
                  <c:v>1579009.2897199981</c:v>
                </c:pt>
                <c:pt idx="167">
                  <c:v>1576229.7419599979</c:v>
                </c:pt>
                <c:pt idx="168">
                  <c:v>1524463.2905999981</c:v>
                </c:pt>
                <c:pt idx="169">
                  <c:v>1535045.7786399978</c:v>
                </c:pt>
                <c:pt idx="170">
                  <c:v>1559178.266099998</c:v>
                </c:pt>
                <c:pt idx="171">
                  <c:v>1513224.2610599981</c:v>
                </c:pt>
                <c:pt idx="172">
                  <c:v>1557646.635739998</c:v>
                </c:pt>
                <c:pt idx="173">
                  <c:v>1537156.2184399979</c:v>
                </c:pt>
                <c:pt idx="174">
                  <c:v>1526639.938459998</c:v>
                </c:pt>
                <c:pt idx="175">
                  <c:v>1504934.2706999979</c:v>
                </c:pt>
                <c:pt idx="176">
                  <c:v>1506898.1629799982</c:v>
                </c:pt>
                <c:pt idx="177">
                  <c:v>1513735.810279998</c:v>
                </c:pt>
                <c:pt idx="178">
                  <c:v>1484228.6961199981</c:v>
                </c:pt>
                <c:pt idx="179">
                  <c:v>1496665.8704999979</c:v>
                </c:pt>
                <c:pt idx="180">
                  <c:v>1530670.8526399978</c:v>
                </c:pt>
                <c:pt idx="181">
                  <c:v>1531522.932219998</c:v>
                </c:pt>
                <c:pt idx="182">
                  <c:v>1514268.411119998</c:v>
                </c:pt>
                <c:pt idx="183">
                  <c:v>1526174.415799998</c:v>
                </c:pt>
                <c:pt idx="184">
                  <c:v>1565985.3607399981</c:v>
                </c:pt>
                <c:pt idx="185">
                  <c:v>1549217.291779998</c:v>
                </c:pt>
                <c:pt idx="186">
                  <c:v>1530878.312659998</c:v>
                </c:pt>
                <c:pt idx="187">
                  <c:v>1503880.9650799981</c:v>
                </c:pt>
                <c:pt idx="188">
                  <c:v>1483814.3337199981</c:v>
                </c:pt>
                <c:pt idx="189">
                  <c:v>1457007.3055599979</c:v>
                </c:pt>
                <c:pt idx="190">
                  <c:v>1459495.764479998</c:v>
                </c:pt>
                <c:pt idx="191">
                  <c:v>1493875.2097599979</c:v>
                </c:pt>
                <c:pt idx="192">
                  <c:v>1507092.2960999981</c:v>
                </c:pt>
                <c:pt idx="193">
                  <c:v>1471384.6343599982</c:v>
                </c:pt>
                <c:pt idx="194">
                  <c:v>1505589.526739998</c:v>
                </c:pt>
                <c:pt idx="195">
                  <c:v>1470124.088079998</c:v>
                </c:pt>
                <c:pt idx="196">
                  <c:v>1446357.2779799979</c:v>
                </c:pt>
                <c:pt idx="197">
                  <c:v>1472314.707939998</c:v>
                </c:pt>
                <c:pt idx="198">
                  <c:v>1441319.8618799981</c:v>
                </c:pt>
                <c:pt idx="199">
                  <c:v>1417709.4240399981</c:v>
                </c:pt>
                <c:pt idx="200">
                  <c:v>1392107.6504399979</c:v>
                </c:pt>
                <c:pt idx="201">
                  <c:v>1431753.3625199979</c:v>
                </c:pt>
                <c:pt idx="202">
                  <c:v>1474420.406839998</c:v>
                </c:pt>
                <c:pt idx="203">
                  <c:v>1491875.771539998</c:v>
                </c:pt>
                <c:pt idx="204">
                  <c:v>1528297.3625599979</c:v>
                </c:pt>
                <c:pt idx="205">
                  <c:v>1508288.3259199981</c:v>
                </c:pt>
                <c:pt idx="206">
                  <c:v>1514327.4158799979</c:v>
                </c:pt>
                <c:pt idx="207">
                  <c:v>1486614.3829999981</c:v>
                </c:pt>
                <c:pt idx="208">
                  <c:v>1477170.3842999979</c:v>
                </c:pt>
                <c:pt idx="209">
                  <c:v>1468338.2067999979</c:v>
                </c:pt>
                <c:pt idx="210">
                  <c:v>1508689.3602199978</c:v>
                </c:pt>
                <c:pt idx="211">
                  <c:v>1481724.8282999978</c:v>
                </c:pt>
                <c:pt idx="212">
                  <c:v>1511955.768639998</c:v>
                </c:pt>
                <c:pt idx="213">
                  <c:v>1545213.3660599981</c:v>
                </c:pt>
                <c:pt idx="214">
                  <c:v>1466243.0673599981</c:v>
                </c:pt>
                <c:pt idx="215">
                  <c:v>1495310.7956799981</c:v>
                </c:pt>
                <c:pt idx="216">
                  <c:v>1555363.565539998</c:v>
                </c:pt>
                <c:pt idx="217">
                  <c:v>1631241.431759998</c:v>
                </c:pt>
                <c:pt idx="218">
                  <c:v>1623941.421239998</c:v>
                </c:pt>
                <c:pt idx="219">
                  <c:v>1667910.409039998</c:v>
                </c:pt>
                <c:pt idx="220">
                  <c:v>1649208.8787199981</c:v>
                </c:pt>
                <c:pt idx="221">
                  <c:v>1609161.969099998</c:v>
                </c:pt>
                <c:pt idx="222">
                  <c:v>1610466.1620799978</c:v>
                </c:pt>
                <c:pt idx="223">
                  <c:v>1587645.9144999981</c:v>
                </c:pt>
                <c:pt idx="224">
                  <c:v>1594501.1570799979</c:v>
                </c:pt>
                <c:pt idx="225">
                  <c:v>1550673.6013599981</c:v>
                </c:pt>
                <c:pt idx="226">
                  <c:v>1582671.162679998</c:v>
                </c:pt>
                <c:pt idx="227">
                  <c:v>1575833.1577199982</c:v>
                </c:pt>
                <c:pt idx="228">
                  <c:v>1557424.1925199979</c:v>
                </c:pt>
                <c:pt idx="229">
                  <c:v>1569875.212459998</c:v>
                </c:pt>
                <c:pt idx="230">
                  <c:v>1588716.675559998</c:v>
                </c:pt>
                <c:pt idx="231">
                  <c:v>1569216.584559998</c:v>
                </c:pt>
                <c:pt idx="232">
                  <c:v>1585551.6803799979</c:v>
                </c:pt>
                <c:pt idx="233">
                  <c:v>1612950.2999599981</c:v>
                </c:pt>
                <c:pt idx="234">
                  <c:v>1588434.6591799981</c:v>
                </c:pt>
                <c:pt idx="235">
                  <c:v>1587517.8850799981</c:v>
                </c:pt>
                <c:pt idx="236">
                  <c:v>1593663.546119998</c:v>
                </c:pt>
                <c:pt idx="237">
                  <c:v>1623960.7093599981</c:v>
                </c:pt>
                <c:pt idx="238">
                  <c:v>1656324.0686999981</c:v>
                </c:pt>
                <c:pt idx="239">
                  <c:v>1665758.979519998</c:v>
                </c:pt>
                <c:pt idx="240">
                  <c:v>1693543.221599998</c:v>
                </c:pt>
                <c:pt idx="241">
                  <c:v>1705865.645679998</c:v>
                </c:pt>
                <c:pt idx="242">
                  <c:v>1711468.3660599981</c:v>
                </c:pt>
                <c:pt idx="243">
                  <c:v>1706595.8214799981</c:v>
                </c:pt>
                <c:pt idx="244">
                  <c:v>1701475.0805399981</c:v>
                </c:pt>
                <c:pt idx="245">
                  <c:v>1714996.9442999982</c:v>
                </c:pt>
                <c:pt idx="246">
                  <c:v>1705636.4898999981</c:v>
                </c:pt>
                <c:pt idx="247">
                  <c:v>1728117.9859599981</c:v>
                </c:pt>
                <c:pt idx="248">
                  <c:v>1726165.2842999981</c:v>
                </c:pt>
                <c:pt idx="249">
                  <c:v>1715593.9612799981</c:v>
                </c:pt>
                <c:pt idx="250">
                  <c:v>1697649.386539998</c:v>
                </c:pt>
                <c:pt idx="251">
                  <c:v>1672806.6226399981</c:v>
                </c:pt>
                <c:pt idx="252">
                  <c:v>1651705.0499599981</c:v>
                </c:pt>
                <c:pt idx="253">
                  <c:v>1590230.7598199979</c:v>
                </c:pt>
                <c:pt idx="254">
                  <c:v>1597779.4713199981</c:v>
                </c:pt>
                <c:pt idx="255">
                  <c:v>1607371.431699998</c:v>
                </c:pt>
                <c:pt idx="256">
                  <c:v>1636805.1670999979</c:v>
                </c:pt>
                <c:pt idx="257">
                  <c:v>1655582.4318999979</c:v>
                </c:pt>
                <c:pt idx="258">
                  <c:v>1660957.0832199981</c:v>
                </c:pt>
                <c:pt idx="259">
                  <c:v>1660811.972399998</c:v>
                </c:pt>
                <c:pt idx="260">
                  <c:v>1698826.2405399978</c:v>
                </c:pt>
                <c:pt idx="261">
                  <c:v>1685747.6800599981</c:v>
                </c:pt>
                <c:pt idx="262">
                  <c:v>1712404.5203599979</c:v>
                </c:pt>
                <c:pt idx="263">
                  <c:v>1758200.2855199981</c:v>
                </c:pt>
                <c:pt idx="264">
                  <c:v>1773136.863479998</c:v>
                </c:pt>
                <c:pt idx="265">
                  <c:v>1792117.2012999982</c:v>
                </c:pt>
                <c:pt idx="266">
                  <c:v>1776785.6074999981</c:v>
                </c:pt>
                <c:pt idx="267">
                  <c:v>1781882.0661799978</c:v>
                </c:pt>
                <c:pt idx="268">
                  <c:v>1767814.4960399983</c:v>
                </c:pt>
                <c:pt idx="269">
                  <c:v>1782813.1402999978</c:v>
                </c:pt>
                <c:pt idx="270">
                  <c:v>1807081.151559998</c:v>
                </c:pt>
                <c:pt idx="271">
                  <c:v>1813136.8561199983</c:v>
                </c:pt>
                <c:pt idx="272">
                  <c:v>1821717.5242799979</c:v>
                </c:pt>
                <c:pt idx="273">
                  <c:v>1853649.7752199981</c:v>
                </c:pt>
                <c:pt idx="274">
                  <c:v>1881292.0107399982</c:v>
                </c:pt>
                <c:pt idx="275">
                  <c:v>1919344.7597999978</c:v>
                </c:pt>
                <c:pt idx="276">
                  <c:v>1988484.6460399982</c:v>
                </c:pt>
                <c:pt idx="277">
                  <c:v>2006725.3329599802</c:v>
                </c:pt>
                <c:pt idx="278">
                  <c:v>2044301.4972999799</c:v>
                </c:pt>
                <c:pt idx="279">
                  <c:v>2018328.6840999802</c:v>
                </c:pt>
                <c:pt idx="280">
                  <c:v>2066326.1752999802</c:v>
                </c:pt>
                <c:pt idx="281">
                  <c:v>2035176.8531399802</c:v>
                </c:pt>
                <c:pt idx="282">
                  <c:v>2094416.6654199802</c:v>
                </c:pt>
                <c:pt idx="283">
                  <c:v>2064741.43257998</c:v>
                </c:pt>
                <c:pt idx="284">
                  <c:v>2072673.1901599797</c:v>
                </c:pt>
                <c:pt idx="285">
                  <c:v>2090148.8929999799</c:v>
                </c:pt>
                <c:pt idx="286">
                  <c:v>2079728.7416599798</c:v>
                </c:pt>
                <c:pt idx="287">
                  <c:v>2013980.0144199799</c:v>
                </c:pt>
                <c:pt idx="288">
                  <c:v>2038521.0795999798</c:v>
                </c:pt>
                <c:pt idx="289">
                  <c:v>2079372.7620799798</c:v>
                </c:pt>
                <c:pt idx="290">
                  <c:v>2184644.67697998</c:v>
                </c:pt>
                <c:pt idx="291">
                  <c:v>2210066.9434799803</c:v>
                </c:pt>
                <c:pt idx="292">
                  <c:v>2211467.3719599796</c:v>
                </c:pt>
                <c:pt idx="293">
                  <c:v>2201747.6063199798</c:v>
                </c:pt>
                <c:pt idx="294">
                  <c:v>2204597.3599999798</c:v>
                </c:pt>
                <c:pt idx="295">
                  <c:v>2259198.6006999803</c:v>
                </c:pt>
                <c:pt idx="296">
                  <c:v>2258264.08017998</c:v>
                </c:pt>
                <c:pt idx="297">
                  <c:v>2211608.2333799801</c:v>
                </c:pt>
                <c:pt idx="298">
                  <c:v>2199250.4934799802</c:v>
                </c:pt>
                <c:pt idx="299">
                  <c:v>2180782.3485399801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7B-43D2-9B4B-D97B48B71BCA}"/>
            </c:ext>
          </c:extLst>
        </c:ser>
        <c:ser>
          <c:idx val="11"/>
          <c:order val="11"/>
          <c:tx>
            <c:strRef>
              <c:f>主板!$P$1</c:f>
              <c:strCache>
                <c:ptCount val="1"/>
                <c:pt idx="0">
                  <c:v>LambdaMART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主板!$P$2:$P$301</c:f>
              <c:numCache>
                <c:formatCode>General</c:formatCode>
                <c:ptCount val="300"/>
                <c:pt idx="0">
                  <c:v>1000000</c:v>
                </c:pt>
                <c:pt idx="1">
                  <c:v>1031612.04926</c:v>
                </c:pt>
                <c:pt idx="2">
                  <c:v>1030912.380559998</c:v>
                </c:pt>
                <c:pt idx="3">
                  <c:v>1058969.7458999981</c:v>
                </c:pt>
                <c:pt idx="4">
                  <c:v>1073672.64182</c:v>
                </c:pt>
                <c:pt idx="5">
                  <c:v>1081566.6663999981</c:v>
                </c:pt>
                <c:pt idx="6">
                  <c:v>1111360.4711799999</c:v>
                </c:pt>
                <c:pt idx="7">
                  <c:v>1106817.68392</c:v>
                </c:pt>
                <c:pt idx="8">
                  <c:v>1097915.2614599981</c:v>
                </c:pt>
                <c:pt idx="9">
                  <c:v>1089501.5741799981</c:v>
                </c:pt>
                <c:pt idx="10">
                  <c:v>1125326.956159998</c:v>
                </c:pt>
                <c:pt idx="11">
                  <c:v>1146182.5612399981</c:v>
                </c:pt>
                <c:pt idx="12">
                  <c:v>1200120.7604799981</c:v>
                </c:pt>
                <c:pt idx="13">
                  <c:v>1216804.8565199999</c:v>
                </c:pt>
                <c:pt idx="14">
                  <c:v>1237013.83662</c:v>
                </c:pt>
                <c:pt idx="15">
                  <c:v>1223206.85852</c:v>
                </c:pt>
                <c:pt idx="16">
                  <c:v>1240814.1497199999</c:v>
                </c:pt>
                <c:pt idx="17">
                  <c:v>1249518.3461200001</c:v>
                </c:pt>
                <c:pt idx="18">
                  <c:v>1237998.6307000001</c:v>
                </c:pt>
                <c:pt idx="19">
                  <c:v>1236849.73526</c:v>
                </c:pt>
                <c:pt idx="20">
                  <c:v>1219782.85662</c:v>
                </c:pt>
                <c:pt idx="21">
                  <c:v>1227320.0082800002</c:v>
                </c:pt>
                <c:pt idx="22">
                  <c:v>1210703.3719599999</c:v>
                </c:pt>
                <c:pt idx="23">
                  <c:v>1244959.52302</c:v>
                </c:pt>
                <c:pt idx="24">
                  <c:v>1228405.95276</c:v>
                </c:pt>
                <c:pt idx="25">
                  <c:v>1242232.8610999999</c:v>
                </c:pt>
                <c:pt idx="26">
                  <c:v>1231525.3294800001</c:v>
                </c:pt>
                <c:pt idx="27">
                  <c:v>1208458.0395</c:v>
                </c:pt>
                <c:pt idx="28">
                  <c:v>1270859.38962</c:v>
                </c:pt>
                <c:pt idx="29">
                  <c:v>1294010.1946399999</c:v>
                </c:pt>
                <c:pt idx="30">
                  <c:v>1314456.79262</c:v>
                </c:pt>
                <c:pt idx="31">
                  <c:v>1283467.8172599999</c:v>
                </c:pt>
                <c:pt idx="32">
                  <c:v>1212738.8016199979</c:v>
                </c:pt>
                <c:pt idx="33">
                  <c:v>1231287.6788799982</c:v>
                </c:pt>
                <c:pt idx="34">
                  <c:v>1171200.3958199979</c:v>
                </c:pt>
                <c:pt idx="35">
                  <c:v>1166651.370299998</c:v>
                </c:pt>
                <c:pt idx="36">
                  <c:v>1147046.0609399979</c:v>
                </c:pt>
                <c:pt idx="37">
                  <c:v>1149979.8429799979</c:v>
                </c:pt>
                <c:pt idx="38">
                  <c:v>1193820.0038799981</c:v>
                </c:pt>
                <c:pt idx="39">
                  <c:v>1202363.0362599981</c:v>
                </c:pt>
                <c:pt idx="40">
                  <c:v>1259143.3245999999</c:v>
                </c:pt>
                <c:pt idx="41">
                  <c:v>1251452.8591199999</c:v>
                </c:pt>
                <c:pt idx="42">
                  <c:v>1221506.85644</c:v>
                </c:pt>
                <c:pt idx="43">
                  <c:v>1221506.85644</c:v>
                </c:pt>
                <c:pt idx="44">
                  <c:v>1221506.85644</c:v>
                </c:pt>
                <c:pt idx="45">
                  <c:v>1221506.85644</c:v>
                </c:pt>
                <c:pt idx="46">
                  <c:v>1214485.83342</c:v>
                </c:pt>
                <c:pt idx="47">
                  <c:v>1211012.27722</c:v>
                </c:pt>
                <c:pt idx="48">
                  <c:v>1218348.7035000001</c:v>
                </c:pt>
                <c:pt idx="49">
                  <c:v>1231348.5731599999</c:v>
                </c:pt>
                <c:pt idx="50">
                  <c:v>1284464.31938</c:v>
                </c:pt>
                <c:pt idx="51">
                  <c:v>1252310.3553599999</c:v>
                </c:pt>
                <c:pt idx="52">
                  <c:v>1246068.4639000001</c:v>
                </c:pt>
                <c:pt idx="53">
                  <c:v>1274525.71634</c:v>
                </c:pt>
                <c:pt idx="54">
                  <c:v>1289862.6698999999</c:v>
                </c:pt>
                <c:pt idx="55">
                  <c:v>1289054.66408</c:v>
                </c:pt>
                <c:pt idx="56">
                  <c:v>1270463.6107399999</c:v>
                </c:pt>
                <c:pt idx="57">
                  <c:v>1265568.1893799999</c:v>
                </c:pt>
                <c:pt idx="58">
                  <c:v>1230505.1831199999</c:v>
                </c:pt>
                <c:pt idx="59">
                  <c:v>1211745.70462</c:v>
                </c:pt>
                <c:pt idx="60">
                  <c:v>1207405.1346799999</c:v>
                </c:pt>
                <c:pt idx="61">
                  <c:v>1212765.9252200001</c:v>
                </c:pt>
                <c:pt idx="62">
                  <c:v>1206373.3989800001</c:v>
                </c:pt>
                <c:pt idx="63">
                  <c:v>1185068.0511</c:v>
                </c:pt>
                <c:pt idx="64">
                  <c:v>1137790.81302</c:v>
                </c:pt>
                <c:pt idx="65">
                  <c:v>1173903.7952999999</c:v>
                </c:pt>
                <c:pt idx="66">
                  <c:v>1214151.3748400002</c:v>
                </c:pt>
                <c:pt idx="67">
                  <c:v>1206372.3516000002</c:v>
                </c:pt>
                <c:pt idx="68">
                  <c:v>1178728.3069</c:v>
                </c:pt>
                <c:pt idx="69">
                  <c:v>1177842.39338</c:v>
                </c:pt>
                <c:pt idx="70">
                  <c:v>1182608.3040999998</c:v>
                </c:pt>
                <c:pt idx="71">
                  <c:v>1176774.43172</c:v>
                </c:pt>
                <c:pt idx="72">
                  <c:v>1148234.1878200001</c:v>
                </c:pt>
                <c:pt idx="73">
                  <c:v>1120142.7415999998</c:v>
                </c:pt>
                <c:pt idx="74">
                  <c:v>1117832.09714</c:v>
                </c:pt>
                <c:pt idx="75">
                  <c:v>1152887.9596000002</c:v>
                </c:pt>
                <c:pt idx="76">
                  <c:v>1119108.7472399999</c:v>
                </c:pt>
                <c:pt idx="77">
                  <c:v>1133743.42392</c:v>
                </c:pt>
                <c:pt idx="78">
                  <c:v>1146773.4536599999</c:v>
                </c:pt>
                <c:pt idx="79">
                  <c:v>1118766.14166</c:v>
                </c:pt>
                <c:pt idx="80">
                  <c:v>1110110.1296999999</c:v>
                </c:pt>
                <c:pt idx="81">
                  <c:v>1056834.4788200001</c:v>
                </c:pt>
                <c:pt idx="82">
                  <c:v>1068389.1696799998</c:v>
                </c:pt>
                <c:pt idx="83">
                  <c:v>1031573.8485999999</c:v>
                </c:pt>
                <c:pt idx="84">
                  <c:v>1064184.4164200001</c:v>
                </c:pt>
                <c:pt idx="85">
                  <c:v>1071321.2588800001</c:v>
                </c:pt>
                <c:pt idx="86">
                  <c:v>1057918.16038</c:v>
                </c:pt>
                <c:pt idx="87">
                  <c:v>1044157.67426</c:v>
                </c:pt>
                <c:pt idx="88">
                  <c:v>1051575.9259399981</c:v>
                </c:pt>
                <c:pt idx="89">
                  <c:v>1024396.37448</c:v>
                </c:pt>
                <c:pt idx="90">
                  <c:v>1027100.72542</c:v>
                </c:pt>
                <c:pt idx="91">
                  <c:v>971521.20451999991</c:v>
                </c:pt>
                <c:pt idx="92">
                  <c:v>956585.19705999794</c:v>
                </c:pt>
                <c:pt idx="93">
                  <c:v>989566.88633999811</c:v>
                </c:pt>
                <c:pt idx="94">
                  <c:v>989929.38581999799</c:v>
                </c:pt>
                <c:pt idx="95">
                  <c:v>1045960.0123199981</c:v>
                </c:pt>
                <c:pt idx="96">
                  <c:v>1091982.845959998</c:v>
                </c:pt>
                <c:pt idx="97">
                  <c:v>1085600.0984599979</c:v>
                </c:pt>
                <c:pt idx="98">
                  <c:v>1092391.080459998</c:v>
                </c:pt>
                <c:pt idx="99">
                  <c:v>1078798.4425199979</c:v>
                </c:pt>
                <c:pt idx="100">
                  <c:v>1108027.5578199981</c:v>
                </c:pt>
                <c:pt idx="101">
                  <c:v>1115166.397759998</c:v>
                </c:pt>
                <c:pt idx="102">
                  <c:v>1128233.1296399981</c:v>
                </c:pt>
                <c:pt idx="103">
                  <c:v>1121022.6191799981</c:v>
                </c:pt>
                <c:pt idx="104">
                  <c:v>1119727.931059998</c:v>
                </c:pt>
                <c:pt idx="105">
                  <c:v>1140194.2631399981</c:v>
                </c:pt>
                <c:pt idx="106">
                  <c:v>1143553.3944999981</c:v>
                </c:pt>
                <c:pt idx="107">
                  <c:v>1133184.811719998</c:v>
                </c:pt>
                <c:pt idx="108">
                  <c:v>1178293.5481199981</c:v>
                </c:pt>
                <c:pt idx="109">
                  <c:v>1169351.8294399981</c:v>
                </c:pt>
                <c:pt idx="110">
                  <c:v>1185303.4153599979</c:v>
                </c:pt>
                <c:pt idx="111">
                  <c:v>1183317.0236599981</c:v>
                </c:pt>
                <c:pt idx="112">
                  <c:v>1201305.0872999979</c:v>
                </c:pt>
                <c:pt idx="113">
                  <c:v>1214005.739279998</c:v>
                </c:pt>
                <c:pt idx="114">
                  <c:v>1214481.6824199981</c:v>
                </c:pt>
                <c:pt idx="115">
                  <c:v>1264888.518759998</c:v>
                </c:pt>
                <c:pt idx="116">
                  <c:v>1285190.1888799979</c:v>
                </c:pt>
                <c:pt idx="117">
                  <c:v>1316542.5493799981</c:v>
                </c:pt>
                <c:pt idx="118">
                  <c:v>1332614.394799998</c:v>
                </c:pt>
                <c:pt idx="119">
                  <c:v>1373247.0242999981</c:v>
                </c:pt>
                <c:pt idx="120">
                  <c:v>1362586.8697999981</c:v>
                </c:pt>
                <c:pt idx="121">
                  <c:v>1394492.1851799979</c:v>
                </c:pt>
                <c:pt idx="122">
                  <c:v>1473707.7534799981</c:v>
                </c:pt>
                <c:pt idx="123">
                  <c:v>1473566.385899998</c:v>
                </c:pt>
                <c:pt idx="124">
                  <c:v>1454738.867679998</c:v>
                </c:pt>
                <c:pt idx="125">
                  <c:v>1499205.9770999979</c:v>
                </c:pt>
                <c:pt idx="126">
                  <c:v>1510263.7461999981</c:v>
                </c:pt>
                <c:pt idx="127">
                  <c:v>1512767.6774999979</c:v>
                </c:pt>
                <c:pt idx="128">
                  <c:v>1525620.2651399979</c:v>
                </c:pt>
                <c:pt idx="129">
                  <c:v>1554188.263459998</c:v>
                </c:pt>
                <c:pt idx="130">
                  <c:v>1559235.347219998</c:v>
                </c:pt>
                <c:pt idx="131">
                  <c:v>1595346.4763599981</c:v>
                </c:pt>
                <c:pt idx="132">
                  <c:v>1628272.542359998</c:v>
                </c:pt>
                <c:pt idx="133">
                  <c:v>1685890.833179998</c:v>
                </c:pt>
                <c:pt idx="134">
                  <c:v>1636777.475859998</c:v>
                </c:pt>
                <c:pt idx="135">
                  <c:v>1631599.284959998</c:v>
                </c:pt>
                <c:pt idx="136">
                  <c:v>1660795.0359199981</c:v>
                </c:pt>
                <c:pt idx="137">
                  <c:v>1729490.192859998</c:v>
                </c:pt>
                <c:pt idx="138">
                  <c:v>1676866.709279998</c:v>
                </c:pt>
                <c:pt idx="139">
                  <c:v>1670902.800459998</c:v>
                </c:pt>
                <c:pt idx="140">
                  <c:v>1690806.9188599982</c:v>
                </c:pt>
                <c:pt idx="141">
                  <c:v>1679446.6230199982</c:v>
                </c:pt>
                <c:pt idx="142">
                  <c:v>1717855.9660599981</c:v>
                </c:pt>
                <c:pt idx="143">
                  <c:v>1745330.1477199979</c:v>
                </c:pt>
                <c:pt idx="144">
                  <c:v>1847922.368899998</c:v>
                </c:pt>
                <c:pt idx="145">
                  <c:v>1910229.0210999982</c:v>
                </c:pt>
                <c:pt idx="146">
                  <c:v>2023165.6698999801</c:v>
                </c:pt>
                <c:pt idx="147">
                  <c:v>2047633.7077599801</c:v>
                </c:pt>
                <c:pt idx="148">
                  <c:v>2087719.96415998</c:v>
                </c:pt>
                <c:pt idx="149">
                  <c:v>2077784.2787199798</c:v>
                </c:pt>
                <c:pt idx="150">
                  <c:v>2066125.4524999999</c:v>
                </c:pt>
                <c:pt idx="151">
                  <c:v>2076573.3895999801</c:v>
                </c:pt>
                <c:pt idx="152">
                  <c:v>2123545.17667998</c:v>
                </c:pt>
                <c:pt idx="153">
                  <c:v>2172373.9871199997</c:v>
                </c:pt>
                <c:pt idx="154">
                  <c:v>2232244.6993199801</c:v>
                </c:pt>
                <c:pt idx="155">
                  <c:v>2287810.76516</c:v>
                </c:pt>
                <c:pt idx="156">
                  <c:v>2200172.3970400002</c:v>
                </c:pt>
                <c:pt idx="157">
                  <c:v>2286480.7445399999</c:v>
                </c:pt>
                <c:pt idx="158">
                  <c:v>2260176.4182599997</c:v>
                </c:pt>
                <c:pt idx="159">
                  <c:v>2268093.5989000001</c:v>
                </c:pt>
                <c:pt idx="160">
                  <c:v>2311473.32296</c:v>
                </c:pt>
                <c:pt idx="161">
                  <c:v>2309699.7282000002</c:v>
                </c:pt>
                <c:pt idx="162">
                  <c:v>2351911.7013400001</c:v>
                </c:pt>
                <c:pt idx="163">
                  <c:v>2379010.2363999998</c:v>
                </c:pt>
                <c:pt idx="164">
                  <c:v>2321517.50189998</c:v>
                </c:pt>
                <c:pt idx="165">
                  <c:v>2337075.7178799799</c:v>
                </c:pt>
                <c:pt idx="166">
                  <c:v>2330178.39811998</c:v>
                </c:pt>
                <c:pt idx="167">
                  <c:v>2319300.3235399802</c:v>
                </c:pt>
                <c:pt idx="168">
                  <c:v>2375210.9120199801</c:v>
                </c:pt>
                <c:pt idx="169">
                  <c:v>2421715.2240999797</c:v>
                </c:pt>
                <c:pt idx="170">
                  <c:v>2459831.7788599799</c:v>
                </c:pt>
                <c:pt idx="171">
                  <c:v>2470028.9894999797</c:v>
                </c:pt>
                <c:pt idx="172">
                  <c:v>2479898.7928599799</c:v>
                </c:pt>
                <c:pt idx="173">
                  <c:v>2486052.71593998</c:v>
                </c:pt>
                <c:pt idx="174">
                  <c:v>2447241.1094799801</c:v>
                </c:pt>
                <c:pt idx="175">
                  <c:v>2525043.3887799801</c:v>
                </c:pt>
                <c:pt idx="176">
                  <c:v>2597135.2100199801</c:v>
                </c:pt>
                <c:pt idx="177">
                  <c:v>2545001.2282599797</c:v>
                </c:pt>
                <c:pt idx="178">
                  <c:v>2512701.1025399799</c:v>
                </c:pt>
                <c:pt idx="179">
                  <c:v>2486781.7206199798</c:v>
                </c:pt>
                <c:pt idx="180">
                  <c:v>2440943.30185998</c:v>
                </c:pt>
                <c:pt idx="181">
                  <c:v>2444634.4112599799</c:v>
                </c:pt>
                <c:pt idx="182">
                  <c:v>2473151.41957998</c:v>
                </c:pt>
                <c:pt idx="183">
                  <c:v>2500718.4373599803</c:v>
                </c:pt>
                <c:pt idx="184">
                  <c:v>2549125.57497998</c:v>
                </c:pt>
                <c:pt idx="185">
                  <c:v>2511110.6102399798</c:v>
                </c:pt>
                <c:pt idx="186">
                  <c:v>2513298.8805399803</c:v>
                </c:pt>
                <c:pt idx="187">
                  <c:v>2545902.5312199802</c:v>
                </c:pt>
                <c:pt idx="188">
                  <c:v>2490808.1022399804</c:v>
                </c:pt>
                <c:pt idx="189">
                  <c:v>2425011.5202199803</c:v>
                </c:pt>
                <c:pt idx="190">
                  <c:v>2387979.7333599799</c:v>
                </c:pt>
                <c:pt idx="191">
                  <c:v>2472931.6024599802</c:v>
                </c:pt>
                <c:pt idx="192">
                  <c:v>2510589.7205999801</c:v>
                </c:pt>
                <c:pt idx="193">
                  <c:v>2466475.6018399801</c:v>
                </c:pt>
                <c:pt idx="194">
                  <c:v>2487997.7597999801</c:v>
                </c:pt>
                <c:pt idx="195">
                  <c:v>2432495.88251998</c:v>
                </c:pt>
                <c:pt idx="196">
                  <c:v>2393166.68187998</c:v>
                </c:pt>
                <c:pt idx="197">
                  <c:v>2413472.8585999804</c:v>
                </c:pt>
                <c:pt idx="198">
                  <c:v>2343414.1721199797</c:v>
                </c:pt>
                <c:pt idx="199">
                  <c:v>2277416.0460199798</c:v>
                </c:pt>
                <c:pt idx="200">
                  <c:v>2245144.72425998</c:v>
                </c:pt>
                <c:pt idx="201">
                  <c:v>2280631.5267399801</c:v>
                </c:pt>
                <c:pt idx="202">
                  <c:v>2371821.93701998</c:v>
                </c:pt>
                <c:pt idx="203">
                  <c:v>2388323.3670799797</c:v>
                </c:pt>
                <c:pt idx="204">
                  <c:v>2425541.5366199799</c:v>
                </c:pt>
                <c:pt idx="205">
                  <c:v>2420535.1144599798</c:v>
                </c:pt>
                <c:pt idx="206">
                  <c:v>2419614.1738999798</c:v>
                </c:pt>
                <c:pt idx="207">
                  <c:v>2355965.3148999801</c:v>
                </c:pt>
                <c:pt idx="208">
                  <c:v>2335132.0514799799</c:v>
                </c:pt>
                <c:pt idx="209">
                  <c:v>2397719.77635998</c:v>
                </c:pt>
                <c:pt idx="210">
                  <c:v>2481160.4412599797</c:v>
                </c:pt>
                <c:pt idx="211">
                  <c:v>2473069.8924199799</c:v>
                </c:pt>
                <c:pt idx="212">
                  <c:v>2470080.6740199802</c:v>
                </c:pt>
                <c:pt idx="213">
                  <c:v>2417603.82209998</c:v>
                </c:pt>
                <c:pt idx="214">
                  <c:v>2334197.07607998</c:v>
                </c:pt>
                <c:pt idx="215">
                  <c:v>2338225.4822199801</c:v>
                </c:pt>
                <c:pt idx="216">
                  <c:v>2426780.9443599801</c:v>
                </c:pt>
                <c:pt idx="217">
                  <c:v>2622774.2780399797</c:v>
                </c:pt>
                <c:pt idx="218">
                  <c:v>2602537.2928999802</c:v>
                </c:pt>
                <c:pt idx="219">
                  <c:v>2705674.73397998</c:v>
                </c:pt>
                <c:pt idx="220">
                  <c:v>2746312.1197599797</c:v>
                </c:pt>
                <c:pt idx="221">
                  <c:v>2705628.9143399801</c:v>
                </c:pt>
                <c:pt idx="222">
                  <c:v>2695383.0104199802</c:v>
                </c:pt>
                <c:pt idx="223">
                  <c:v>2659832.0703199799</c:v>
                </c:pt>
                <c:pt idx="224">
                  <c:v>2671336.6983599802</c:v>
                </c:pt>
                <c:pt idx="225">
                  <c:v>2582404.9600599799</c:v>
                </c:pt>
                <c:pt idx="226">
                  <c:v>2590439.2707799799</c:v>
                </c:pt>
                <c:pt idx="227">
                  <c:v>2647158.47731998</c:v>
                </c:pt>
                <c:pt idx="228">
                  <c:v>2733126.9976999802</c:v>
                </c:pt>
                <c:pt idx="229">
                  <c:v>2726644.5486399801</c:v>
                </c:pt>
                <c:pt idx="230">
                  <c:v>2754329.4624799797</c:v>
                </c:pt>
                <c:pt idx="231">
                  <c:v>2740903.9835999804</c:v>
                </c:pt>
                <c:pt idx="232">
                  <c:v>2727977.3739399798</c:v>
                </c:pt>
                <c:pt idx="233">
                  <c:v>2763835.7991199801</c:v>
                </c:pt>
                <c:pt idx="234">
                  <c:v>2725257.8272799803</c:v>
                </c:pt>
                <c:pt idx="235">
                  <c:v>2723690.1135999798</c:v>
                </c:pt>
                <c:pt idx="236">
                  <c:v>2734230.76913998</c:v>
                </c:pt>
                <c:pt idx="237">
                  <c:v>2748805.3898199801</c:v>
                </c:pt>
                <c:pt idx="238">
                  <c:v>2764544.6361799799</c:v>
                </c:pt>
                <c:pt idx="239">
                  <c:v>2798994.0529799801</c:v>
                </c:pt>
                <c:pt idx="240">
                  <c:v>2856336.1607999802</c:v>
                </c:pt>
                <c:pt idx="241">
                  <c:v>2853109.7932199799</c:v>
                </c:pt>
                <c:pt idx="242">
                  <c:v>2850759.2793799797</c:v>
                </c:pt>
                <c:pt idx="243">
                  <c:v>2871029.1085199798</c:v>
                </c:pt>
                <c:pt idx="244">
                  <c:v>2856104.09019998</c:v>
                </c:pt>
                <c:pt idx="245">
                  <c:v>2810084.2165199802</c:v>
                </c:pt>
                <c:pt idx="246">
                  <c:v>2802184.7595599801</c:v>
                </c:pt>
                <c:pt idx="247">
                  <c:v>2807466.4522799803</c:v>
                </c:pt>
                <c:pt idx="248">
                  <c:v>2838509.6138799801</c:v>
                </c:pt>
                <c:pt idx="249">
                  <c:v>2784800.7441799799</c:v>
                </c:pt>
                <c:pt idx="250">
                  <c:v>2755300.3647999801</c:v>
                </c:pt>
                <c:pt idx="251">
                  <c:v>2708924.9732599799</c:v>
                </c:pt>
                <c:pt idx="252">
                  <c:v>2697720.3221399798</c:v>
                </c:pt>
                <c:pt idx="253">
                  <c:v>2656070.3723599799</c:v>
                </c:pt>
                <c:pt idx="254">
                  <c:v>2634241.9590599802</c:v>
                </c:pt>
                <c:pt idx="255">
                  <c:v>2730504.6858999799</c:v>
                </c:pt>
                <c:pt idx="256">
                  <c:v>2770804.4835399799</c:v>
                </c:pt>
                <c:pt idx="257">
                  <c:v>2781726.94813998</c:v>
                </c:pt>
                <c:pt idx="258">
                  <c:v>2785259.1121399803</c:v>
                </c:pt>
                <c:pt idx="259">
                  <c:v>2789622.2836799799</c:v>
                </c:pt>
                <c:pt idx="260">
                  <c:v>2823847.8039799798</c:v>
                </c:pt>
                <c:pt idx="261">
                  <c:v>2823819.5656999801</c:v>
                </c:pt>
                <c:pt idx="262">
                  <c:v>2864800.2720399802</c:v>
                </c:pt>
                <c:pt idx="263">
                  <c:v>2868565.1231599799</c:v>
                </c:pt>
                <c:pt idx="264">
                  <c:v>2862523.6608799798</c:v>
                </c:pt>
                <c:pt idx="265">
                  <c:v>2865842.75941998</c:v>
                </c:pt>
                <c:pt idx="266">
                  <c:v>2852883.9134599799</c:v>
                </c:pt>
                <c:pt idx="267">
                  <c:v>2852678.7006199798</c:v>
                </c:pt>
                <c:pt idx="268">
                  <c:v>2852793.4481199803</c:v>
                </c:pt>
                <c:pt idx="269">
                  <c:v>2924991.5952399801</c:v>
                </c:pt>
                <c:pt idx="270">
                  <c:v>2908445.3815399799</c:v>
                </c:pt>
                <c:pt idx="271">
                  <c:v>2897744.6936999802</c:v>
                </c:pt>
                <c:pt idx="272">
                  <c:v>2927688.6058199801</c:v>
                </c:pt>
                <c:pt idx="273">
                  <c:v>3001856.4209399801</c:v>
                </c:pt>
                <c:pt idx="274">
                  <c:v>3057181.9378399802</c:v>
                </c:pt>
                <c:pt idx="275">
                  <c:v>3171599.2583999801</c:v>
                </c:pt>
                <c:pt idx="276">
                  <c:v>3252070.0291999797</c:v>
                </c:pt>
                <c:pt idx="277">
                  <c:v>3317271.43193998</c:v>
                </c:pt>
                <c:pt idx="278">
                  <c:v>3314190.9580799798</c:v>
                </c:pt>
                <c:pt idx="279">
                  <c:v>3265993.76693998</c:v>
                </c:pt>
                <c:pt idx="280">
                  <c:v>3320759.1627599797</c:v>
                </c:pt>
                <c:pt idx="281">
                  <c:v>3278253.6977599799</c:v>
                </c:pt>
                <c:pt idx="282">
                  <c:v>3292604.0064399801</c:v>
                </c:pt>
                <c:pt idx="283">
                  <c:v>3245937.1627599797</c:v>
                </c:pt>
                <c:pt idx="284">
                  <c:v>3356869.8685999801</c:v>
                </c:pt>
                <c:pt idx="285">
                  <c:v>3382885.51387998</c:v>
                </c:pt>
                <c:pt idx="286">
                  <c:v>3365924.2746199802</c:v>
                </c:pt>
                <c:pt idx="287">
                  <c:v>3258030.2521799798</c:v>
                </c:pt>
                <c:pt idx="288">
                  <c:v>3225973.2513799802</c:v>
                </c:pt>
                <c:pt idx="289">
                  <c:v>3295958.9016399803</c:v>
                </c:pt>
                <c:pt idx="290">
                  <c:v>3373926.9588999799</c:v>
                </c:pt>
                <c:pt idx="291">
                  <c:v>3361994.5327399797</c:v>
                </c:pt>
                <c:pt idx="292">
                  <c:v>3404369.2400799803</c:v>
                </c:pt>
                <c:pt idx="293">
                  <c:v>3402314.02495998</c:v>
                </c:pt>
                <c:pt idx="294">
                  <c:v>3388354.3827599799</c:v>
                </c:pt>
                <c:pt idx="295">
                  <c:v>3410840.0932799801</c:v>
                </c:pt>
                <c:pt idx="296">
                  <c:v>3385898.1326199798</c:v>
                </c:pt>
                <c:pt idx="297">
                  <c:v>3365420.5728799799</c:v>
                </c:pt>
                <c:pt idx="298">
                  <c:v>3377496.6696999995</c:v>
                </c:pt>
                <c:pt idx="299">
                  <c:v>3354400.5546399797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7B-43D2-9B4B-D97B48B71BCA}"/>
            </c:ext>
          </c:extLst>
        </c:ser>
        <c:ser>
          <c:idx val="12"/>
          <c:order val="12"/>
          <c:tx>
            <c:strRef>
              <c:f>主板!$Q$1</c:f>
              <c:strCache>
                <c:ptCount val="1"/>
                <c:pt idx="0">
                  <c:v>LTR-DQN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主板!$G$1:$G$301</c:f>
              <c:strCache>
                <c:ptCount val="264"/>
                <c:pt idx="0">
                  <c:v>qid</c:v>
                </c:pt>
                <c:pt idx="1">
                  <c:v>2021/Q4</c:v>
                </c:pt>
                <c:pt idx="31">
                  <c:v>2022/Q1</c:v>
                </c:pt>
                <c:pt idx="79">
                  <c:v>2022/Q2</c:v>
                </c:pt>
                <c:pt idx="138">
                  <c:v>2022/Q3</c:v>
                </c:pt>
                <c:pt idx="203">
                  <c:v>2022/Q4</c:v>
                </c:pt>
                <c:pt idx="263">
                  <c:v>2023/Q1</c:v>
                </c:pt>
              </c:strCache>
            </c:strRef>
          </c:cat>
          <c:val>
            <c:numRef>
              <c:f>主板!$Q$2:$Q$301</c:f>
              <c:numCache>
                <c:formatCode>General</c:formatCode>
                <c:ptCount val="300"/>
                <c:pt idx="0">
                  <c:v>1000000</c:v>
                </c:pt>
                <c:pt idx="1">
                  <c:v>1000000</c:v>
                </c:pt>
                <c:pt idx="2">
                  <c:v>1000592.5300449204</c:v>
                </c:pt>
                <c:pt idx="3">
                  <c:v>1000592.5300449204</c:v>
                </c:pt>
                <c:pt idx="4">
                  <c:v>977323.42525797582</c:v>
                </c:pt>
                <c:pt idx="5">
                  <c:v>947099.81967489398</c:v>
                </c:pt>
                <c:pt idx="6">
                  <c:v>1040744.558875418</c:v>
                </c:pt>
                <c:pt idx="7">
                  <c:v>1041430.0443168872</c:v>
                </c:pt>
                <c:pt idx="8">
                  <c:v>1026101.743587902</c:v>
                </c:pt>
                <c:pt idx="9">
                  <c:v>1007495.3911535764</c:v>
                </c:pt>
                <c:pt idx="10">
                  <c:v>1071979.4222698701</c:v>
                </c:pt>
                <c:pt idx="11">
                  <c:v>1071979.4222698701</c:v>
                </c:pt>
                <c:pt idx="12">
                  <c:v>1071979.4222698701</c:v>
                </c:pt>
                <c:pt idx="13">
                  <c:v>1071979.4222698701</c:v>
                </c:pt>
                <c:pt idx="14">
                  <c:v>1032660.1753104331</c:v>
                </c:pt>
                <c:pt idx="15">
                  <c:v>996453.4844325718</c:v>
                </c:pt>
                <c:pt idx="16">
                  <c:v>1093931.3269148807</c:v>
                </c:pt>
                <c:pt idx="17">
                  <c:v>1090365.5884204591</c:v>
                </c:pt>
                <c:pt idx="18">
                  <c:v>1090365.5884204591</c:v>
                </c:pt>
                <c:pt idx="19">
                  <c:v>1090365.5884204591</c:v>
                </c:pt>
                <c:pt idx="20">
                  <c:v>1090365.5884204591</c:v>
                </c:pt>
                <c:pt idx="21">
                  <c:v>1107802.4804392534</c:v>
                </c:pt>
                <c:pt idx="22">
                  <c:v>1097877.6441779325</c:v>
                </c:pt>
                <c:pt idx="23">
                  <c:v>1138114.7843120417</c:v>
                </c:pt>
                <c:pt idx="24">
                  <c:v>1138114.7843120417</c:v>
                </c:pt>
                <c:pt idx="25">
                  <c:v>1138114.7843120417</c:v>
                </c:pt>
                <c:pt idx="26">
                  <c:v>1134573.6089411664</c:v>
                </c:pt>
                <c:pt idx="27">
                  <c:v>1116227.6856505657</c:v>
                </c:pt>
                <c:pt idx="28">
                  <c:v>1225736.927960125</c:v>
                </c:pt>
                <c:pt idx="29">
                  <c:v>1181979.3307727631</c:v>
                </c:pt>
                <c:pt idx="30">
                  <c:v>1182487.4373903731</c:v>
                </c:pt>
                <c:pt idx="31">
                  <c:v>1182487.4373903731</c:v>
                </c:pt>
                <c:pt idx="32">
                  <c:v>1182487.4373903731</c:v>
                </c:pt>
                <c:pt idx="33">
                  <c:v>1218146.7424696786</c:v>
                </c:pt>
                <c:pt idx="34">
                  <c:v>1160531.8976229888</c:v>
                </c:pt>
                <c:pt idx="35">
                  <c:v>1160918.522049573</c:v>
                </c:pt>
                <c:pt idx="36">
                  <c:v>1160918.522049573</c:v>
                </c:pt>
                <c:pt idx="37">
                  <c:v>1147452.4597080466</c:v>
                </c:pt>
                <c:pt idx="38">
                  <c:v>1167069.7635574692</c:v>
                </c:pt>
                <c:pt idx="39">
                  <c:v>1189317.3282640602</c:v>
                </c:pt>
                <c:pt idx="40">
                  <c:v>1269498.5346217344</c:v>
                </c:pt>
                <c:pt idx="41">
                  <c:v>1269498.5346217344</c:v>
                </c:pt>
                <c:pt idx="42">
                  <c:v>1269498.5346217344</c:v>
                </c:pt>
                <c:pt idx="43">
                  <c:v>1269498.5346217344</c:v>
                </c:pt>
                <c:pt idx="44">
                  <c:v>1269498.5346217344</c:v>
                </c:pt>
                <c:pt idx="45">
                  <c:v>1269498.5346217344</c:v>
                </c:pt>
                <c:pt idx="46">
                  <c:v>1255195.778444028</c:v>
                </c:pt>
                <c:pt idx="47">
                  <c:v>1255195.778444028</c:v>
                </c:pt>
                <c:pt idx="48">
                  <c:v>1255195.778444028</c:v>
                </c:pt>
                <c:pt idx="49">
                  <c:v>1297440.8864149847</c:v>
                </c:pt>
                <c:pt idx="50">
                  <c:v>1328666.7529967872</c:v>
                </c:pt>
                <c:pt idx="51">
                  <c:v>1335965.1722571533</c:v>
                </c:pt>
                <c:pt idx="52">
                  <c:v>1335965.1722571533</c:v>
                </c:pt>
                <c:pt idx="53">
                  <c:v>1330465.5275783928</c:v>
                </c:pt>
                <c:pt idx="54">
                  <c:v>1383445.6441576341</c:v>
                </c:pt>
                <c:pt idx="55">
                  <c:v>1395715.1501628847</c:v>
                </c:pt>
                <c:pt idx="56">
                  <c:v>1373493.2181474175</c:v>
                </c:pt>
                <c:pt idx="57">
                  <c:v>1373493.2181474175</c:v>
                </c:pt>
                <c:pt idx="58">
                  <c:v>1373493.2181474175</c:v>
                </c:pt>
                <c:pt idx="59">
                  <c:v>1408401.7890483614</c:v>
                </c:pt>
                <c:pt idx="60">
                  <c:v>1416648.9928192885</c:v>
                </c:pt>
                <c:pt idx="61">
                  <c:v>1426508.0516024751</c:v>
                </c:pt>
                <c:pt idx="62">
                  <c:v>1428542.7686863365</c:v>
                </c:pt>
                <c:pt idx="63">
                  <c:v>1428542.7686863365</c:v>
                </c:pt>
                <c:pt idx="64">
                  <c:v>1393412.4180962529</c:v>
                </c:pt>
                <c:pt idx="65">
                  <c:v>1417742.6013518639</c:v>
                </c:pt>
                <c:pt idx="66">
                  <c:v>1458633.1062246382</c:v>
                </c:pt>
                <c:pt idx="67">
                  <c:v>1438253.0137208696</c:v>
                </c:pt>
                <c:pt idx="68">
                  <c:v>1438253.0137208696</c:v>
                </c:pt>
                <c:pt idx="69">
                  <c:v>1438253.0137208696</c:v>
                </c:pt>
                <c:pt idx="70">
                  <c:v>1473883.4262244718</c:v>
                </c:pt>
                <c:pt idx="71">
                  <c:v>1519640.339458619</c:v>
                </c:pt>
                <c:pt idx="72">
                  <c:v>1492247.3341005843</c:v>
                </c:pt>
                <c:pt idx="73">
                  <c:v>1492247.3341005843</c:v>
                </c:pt>
                <c:pt idx="74">
                  <c:v>1492247.3341005843</c:v>
                </c:pt>
                <c:pt idx="75">
                  <c:v>1540401.5688468881</c:v>
                </c:pt>
                <c:pt idx="76">
                  <c:v>1487885.4721394333</c:v>
                </c:pt>
                <c:pt idx="77">
                  <c:v>1531886.489201834</c:v>
                </c:pt>
                <c:pt idx="78">
                  <c:v>1547114.2550443786</c:v>
                </c:pt>
                <c:pt idx="79">
                  <c:v>1509295.0670322934</c:v>
                </c:pt>
                <c:pt idx="80">
                  <c:v>1497433.3137939028</c:v>
                </c:pt>
                <c:pt idx="81">
                  <c:v>1425509.5732053469</c:v>
                </c:pt>
                <c:pt idx="82">
                  <c:v>1441103.7751967681</c:v>
                </c:pt>
                <c:pt idx="83">
                  <c:v>1460940.005002328</c:v>
                </c:pt>
                <c:pt idx="84">
                  <c:v>1468829.4179946072</c:v>
                </c:pt>
                <c:pt idx="85">
                  <c:v>1429769.3450102627</c:v>
                </c:pt>
                <c:pt idx="86">
                  <c:v>1419326.5509185505</c:v>
                </c:pt>
                <c:pt idx="87">
                  <c:v>1416408.0612138098</c:v>
                </c:pt>
                <c:pt idx="88">
                  <c:v>1369962.1047313286</c:v>
                </c:pt>
                <c:pt idx="89">
                  <c:v>1447269.2921148278</c:v>
                </c:pt>
                <c:pt idx="90">
                  <c:v>1418516.6269688858</c:v>
                </c:pt>
                <c:pt idx="91">
                  <c:v>1418516.6269688858</c:v>
                </c:pt>
                <c:pt idx="92">
                  <c:v>1418516.6269688858</c:v>
                </c:pt>
                <c:pt idx="93">
                  <c:v>1487000.5438067995</c:v>
                </c:pt>
                <c:pt idx="94">
                  <c:v>1520560.7330044454</c:v>
                </c:pt>
                <c:pt idx="95">
                  <c:v>1623376.1933486816</c:v>
                </c:pt>
                <c:pt idx="96">
                  <c:v>1623376.1933486816</c:v>
                </c:pt>
                <c:pt idx="97">
                  <c:v>1613883.7604599823</c:v>
                </c:pt>
                <c:pt idx="98">
                  <c:v>1624002.7509472452</c:v>
                </c:pt>
                <c:pt idx="99">
                  <c:v>1632344.5916242634</c:v>
                </c:pt>
                <c:pt idx="100">
                  <c:v>1658671.6750100811</c:v>
                </c:pt>
                <c:pt idx="101">
                  <c:v>1664202.8800892332</c:v>
                </c:pt>
                <c:pt idx="102">
                  <c:v>1712048.9978506553</c:v>
                </c:pt>
                <c:pt idx="103">
                  <c:v>1690776.4815878789</c:v>
                </c:pt>
                <c:pt idx="104">
                  <c:v>1722889.6414966267</c:v>
                </c:pt>
                <c:pt idx="105">
                  <c:v>1717895.5044799817</c:v>
                </c:pt>
                <c:pt idx="106">
                  <c:v>1727762.0277250903</c:v>
                </c:pt>
                <c:pt idx="107">
                  <c:v>1712048.3262883234</c:v>
                </c:pt>
                <c:pt idx="108">
                  <c:v>1780310.891784091</c:v>
                </c:pt>
                <c:pt idx="109">
                  <c:v>1766828.201418103</c:v>
                </c:pt>
                <c:pt idx="110">
                  <c:v>1791530.4505129126</c:v>
                </c:pt>
                <c:pt idx="111">
                  <c:v>1810536.8754303278</c:v>
                </c:pt>
                <c:pt idx="112">
                  <c:v>1838103.8908986431</c:v>
                </c:pt>
                <c:pt idx="113">
                  <c:v>1857552.9965180005</c:v>
                </c:pt>
                <c:pt idx="114">
                  <c:v>1857552.9965180005</c:v>
                </c:pt>
                <c:pt idx="115">
                  <c:v>1896498.151226155</c:v>
                </c:pt>
                <c:pt idx="116">
                  <c:v>1950573.8291549156</c:v>
                </c:pt>
                <c:pt idx="117">
                  <c:v>1964319.0355164807</c:v>
                </c:pt>
                <c:pt idx="118">
                  <c:v>2020150.984241823</c:v>
                </c:pt>
                <c:pt idx="119">
                  <c:v>2020150.984241823</c:v>
                </c:pt>
                <c:pt idx="120">
                  <c:v>2020150.984241823</c:v>
                </c:pt>
                <c:pt idx="121">
                  <c:v>2013768.0041631856</c:v>
                </c:pt>
                <c:pt idx="122">
                  <c:v>2153197.3088336592</c:v>
                </c:pt>
                <c:pt idx="123">
                  <c:v>2152978.8194967392</c:v>
                </c:pt>
                <c:pt idx="124">
                  <c:v>2152978.8194967392</c:v>
                </c:pt>
                <c:pt idx="125">
                  <c:v>2152978.8194967392</c:v>
                </c:pt>
                <c:pt idx="126">
                  <c:v>2161133.1312053581</c:v>
                </c:pt>
                <c:pt idx="127">
                  <c:v>2123565.917651827</c:v>
                </c:pt>
                <c:pt idx="128">
                  <c:v>2188103.6949946475</c:v>
                </c:pt>
                <c:pt idx="129">
                  <c:v>2188103.6949946475</c:v>
                </c:pt>
                <c:pt idx="130">
                  <c:v>2188103.6949946475</c:v>
                </c:pt>
                <c:pt idx="131">
                  <c:v>2259052.1035674717</c:v>
                </c:pt>
                <c:pt idx="132">
                  <c:v>2129435.083454309</c:v>
                </c:pt>
                <c:pt idx="133">
                  <c:v>2101649.5229439558</c:v>
                </c:pt>
                <c:pt idx="134">
                  <c:v>2101649.5229439558</c:v>
                </c:pt>
                <c:pt idx="135">
                  <c:v>2101649.5229439558</c:v>
                </c:pt>
                <c:pt idx="136">
                  <c:v>2130823.9146533678</c:v>
                </c:pt>
                <c:pt idx="137">
                  <c:v>2319521.0442851898</c:v>
                </c:pt>
                <c:pt idx="138">
                  <c:v>2142402.2762201447</c:v>
                </c:pt>
                <c:pt idx="139">
                  <c:v>2142402.2762201447</c:v>
                </c:pt>
                <c:pt idx="140">
                  <c:v>2142402.2762201447</c:v>
                </c:pt>
                <c:pt idx="141">
                  <c:v>2166711.2327169166</c:v>
                </c:pt>
                <c:pt idx="142">
                  <c:v>2194989.3988878191</c:v>
                </c:pt>
                <c:pt idx="143">
                  <c:v>2189764.8110388</c:v>
                </c:pt>
                <c:pt idx="144">
                  <c:v>2317000.802263896</c:v>
                </c:pt>
                <c:pt idx="145">
                  <c:v>2395206.990996806</c:v>
                </c:pt>
                <c:pt idx="146">
                  <c:v>2537021.8580272212</c:v>
                </c:pt>
                <c:pt idx="147">
                  <c:v>2591619.4391653137</c:v>
                </c:pt>
                <c:pt idx="148">
                  <c:v>2759905.0583912162</c:v>
                </c:pt>
                <c:pt idx="149">
                  <c:v>2676849.6574203963</c:v>
                </c:pt>
                <c:pt idx="150">
                  <c:v>2583671.2021277421</c:v>
                </c:pt>
                <c:pt idx="151">
                  <c:v>2602004.8795743152</c:v>
                </c:pt>
                <c:pt idx="152">
                  <c:v>2660878.2693281882</c:v>
                </c:pt>
                <c:pt idx="153">
                  <c:v>2722140.6540997932</c:v>
                </c:pt>
                <c:pt idx="154">
                  <c:v>2797213.2808448728</c:v>
                </c:pt>
                <c:pt idx="155">
                  <c:v>3072506.8156395485</c:v>
                </c:pt>
                <c:pt idx="156">
                  <c:v>2999106.3745895056</c:v>
                </c:pt>
                <c:pt idx="157">
                  <c:v>2915486.5583838075</c:v>
                </c:pt>
                <c:pt idx="158">
                  <c:v>2946223.3364002774</c:v>
                </c:pt>
                <c:pt idx="159">
                  <c:v>2956555.5416731536</c:v>
                </c:pt>
                <c:pt idx="160">
                  <c:v>3013200.6495914613</c:v>
                </c:pt>
                <c:pt idx="161">
                  <c:v>2987108.8597081355</c:v>
                </c:pt>
                <c:pt idx="162">
                  <c:v>3009860.8888934115</c:v>
                </c:pt>
                <c:pt idx="163">
                  <c:v>3041261.3497087448</c:v>
                </c:pt>
                <c:pt idx="164">
                  <c:v>2967725.0427289628</c:v>
                </c:pt>
                <c:pt idx="165">
                  <c:v>2987628.2923913812</c:v>
                </c:pt>
                <c:pt idx="166">
                  <c:v>2978800.787076632</c:v>
                </c:pt>
                <c:pt idx="167">
                  <c:v>2928125.3199352114</c:v>
                </c:pt>
                <c:pt idx="168">
                  <c:v>2854818.9413129613</c:v>
                </c:pt>
                <c:pt idx="169">
                  <c:v>2854818.9413129613</c:v>
                </c:pt>
                <c:pt idx="170">
                  <c:v>2899782.1006974787</c:v>
                </c:pt>
                <c:pt idx="171">
                  <c:v>2911803.7822207133</c:v>
                </c:pt>
                <c:pt idx="172">
                  <c:v>2963930.4457305395</c:v>
                </c:pt>
                <c:pt idx="173">
                  <c:v>3040986.4809811348</c:v>
                </c:pt>
                <c:pt idx="174">
                  <c:v>2991860.4658677904</c:v>
                </c:pt>
                <c:pt idx="175">
                  <c:v>2991860.4658677904</c:v>
                </c:pt>
                <c:pt idx="176">
                  <c:v>3077371.5412318138</c:v>
                </c:pt>
                <c:pt idx="177">
                  <c:v>3015542.1799357845</c:v>
                </c:pt>
                <c:pt idx="178">
                  <c:v>2920841.3674066723</c:v>
                </c:pt>
                <c:pt idx="179">
                  <c:v>2945685.7298550513</c:v>
                </c:pt>
                <c:pt idx="180">
                  <c:v>2958708.5422288296</c:v>
                </c:pt>
                <c:pt idx="181">
                  <c:v>2991491.2190988595</c:v>
                </c:pt>
                <c:pt idx="182">
                  <c:v>3026279.7888580007</c:v>
                </c:pt>
                <c:pt idx="183">
                  <c:v>3086318.1451045317</c:v>
                </c:pt>
                <c:pt idx="184">
                  <c:v>3390423.8577335263</c:v>
                </c:pt>
                <c:pt idx="185">
                  <c:v>3339782.5857976694</c:v>
                </c:pt>
                <c:pt idx="186">
                  <c:v>3364380.0519939391</c:v>
                </c:pt>
                <c:pt idx="187">
                  <c:v>3408067.2941850042</c:v>
                </c:pt>
                <c:pt idx="188">
                  <c:v>3334272.577614361</c:v>
                </c:pt>
                <c:pt idx="189">
                  <c:v>3346821.4003019105</c:v>
                </c:pt>
                <c:pt idx="190">
                  <c:v>3274576.4631708455</c:v>
                </c:pt>
                <c:pt idx="191">
                  <c:v>3357914.9669475388</c:v>
                </c:pt>
                <c:pt idx="192">
                  <c:v>3371071.9775403752</c:v>
                </c:pt>
                <c:pt idx="193">
                  <c:v>3321478.1351860911</c:v>
                </c:pt>
                <c:pt idx="194">
                  <c:v>3350415.0128879556</c:v>
                </c:pt>
                <c:pt idx="195">
                  <c:v>3350415.0128879556</c:v>
                </c:pt>
                <c:pt idx="196">
                  <c:v>3350415.0128879556</c:v>
                </c:pt>
                <c:pt idx="197">
                  <c:v>3369016.9380376269</c:v>
                </c:pt>
                <c:pt idx="198">
                  <c:v>3208265.0165090072</c:v>
                </c:pt>
                <c:pt idx="199">
                  <c:v>3117771.1795449965</c:v>
                </c:pt>
                <c:pt idx="200">
                  <c:v>3117771.1795449965</c:v>
                </c:pt>
                <c:pt idx="201">
                  <c:v>2866142.0891023148</c:v>
                </c:pt>
                <c:pt idx="202">
                  <c:v>2866142.0891023148</c:v>
                </c:pt>
                <c:pt idx="203">
                  <c:v>2866142.0891023148</c:v>
                </c:pt>
                <c:pt idx="204">
                  <c:v>2889549.0712090312</c:v>
                </c:pt>
                <c:pt idx="205">
                  <c:v>2926353.1302307197</c:v>
                </c:pt>
                <c:pt idx="206">
                  <c:v>2920083.2834045989</c:v>
                </c:pt>
                <c:pt idx="207">
                  <c:v>2920083.2834045989</c:v>
                </c:pt>
                <c:pt idx="208">
                  <c:v>2920083.2834045989</c:v>
                </c:pt>
                <c:pt idx="209">
                  <c:v>2933507.3820711924</c:v>
                </c:pt>
                <c:pt idx="210">
                  <c:v>3026340.4595215856</c:v>
                </c:pt>
                <c:pt idx="211">
                  <c:v>3131695.1929673115</c:v>
                </c:pt>
                <c:pt idx="212">
                  <c:v>3050778.427534176</c:v>
                </c:pt>
                <c:pt idx="213">
                  <c:v>3066697.6486800411</c:v>
                </c:pt>
                <c:pt idx="214">
                  <c:v>2998572.3319378644</c:v>
                </c:pt>
                <c:pt idx="215">
                  <c:v>2895122.5687372121</c:v>
                </c:pt>
                <c:pt idx="216">
                  <c:v>2900093.614937264</c:v>
                </c:pt>
                <c:pt idx="217">
                  <c:v>3010044.6286148462</c:v>
                </c:pt>
                <c:pt idx="218">
                  <c:v>3235752.8684782498</c:v>
                </c:pt>
                <c:pt idx="219">
                  <c:v>3235752.8684782498</c:v>
                </c:pt>
                <c:pt idx="220">
                  <c:v>3235752.8684782498</c:v>
                </c:pt>
                <c:pt idx="221">
                  <c:v>3254898.1349789863</c:v>
                </c:pt>
                <c:pt idx="222">
                  <c:v>3206655.8527135393</c:v>
                </c:pt>
                <c:pt idx="223">
                  <c:v>3194509.4748148602</c:v>
                </c:pt>
                <c:pt idx="224">
                  <c:v>3189872.0355687216</c:v>
                </c:pt>
                <c:pt idx="225">
                  <c:v>3189872.0355687216</c:v>
                </c:pt>
                <c:pt idx="226">
                  <c:v>3096343.8926342856</c:v>
                </c:pt>
                <c:pt idx="227">
                  <c:v>3105981.2348828949</c:v>
                </c:pt>
                <c:pt idx="228">
                  <c:v>3174012.3825031156</c:v>
                </c:pt>
                <c:pt idx="229">
                  <c:v>3328604.8476568754</c:v>
                </c:pt>
                <c:pt idx="230">
                  <c:v>3328604.8476568754</c:v>
                </c:pt>
                <c:pt idx="231">
                  <c:v>3411762.5934604905</c:v>
                </c:pt>
                <c:pt idx="232">
                  <c:v>3282755.6623707647</c:v>
                </c:pt>
                <c:pt idx="233">
                  <c:v>3258579.8025355684</c:v>
                </c:pt>
                <c:pt idx="234">
                  <c:v>3253366.075381822</c:v>
                </c:pt>
                <c:pt idx="235">
                  <c:v>3212170.233762457</c:v>
                </c:pt>
                <c:pt idx="236">
                  <c:v>3215188.5068234946</c:v>
                </c:pt>
                <c:pt idx="237">
                  <c:v>3227610.8352184724</c:v>
                </c:pt>
                <c:pt idx="238">
                  <c:v>3244821.41730033</c:v>
                </c:pt>
                <c:pt idx="239">
                  <c:v>3310773.5506120808</c:v>
                </c:pt>
                <c:pt idx="240">
                  <c:v>3333261.7703134432</c:v>
                </c:pt>
                <c:pt idx="241">
                  <c:v>3516986.2773548216</c:v>
                </c:pt>
                <c:pt idx="242">
                  <c:v>3491898.2148906556</c:v>
                </c:pt>
                <c:pt idx="243">
                  <c:v>3465415.5325913411</c:v>
                </c:pt>
                <c:pt idx="244">
                  <c:v>3476496.4818060105</c:v>
                </c:pt>
                <c:pt idx="245">
                  <c:v>3436660.6849312219</c:v>
                </c:pt>
                <c:pt idx="246">
                  <c:v>3307701.903677193</c:v>
                </c:pt>
                <c:pt idx="247">
                  <c:v>3307701.903677193</c:v>
                </c:pt>
                <c:pt idx="248">
                  <c:v>3328086.9974820511</c:v>
                </c:pt>
                <c:pt idx="249">
                  <c:v>3331268.2474686308</c:v>
                </c:pt>
                <c:pt idx="250">
                  <c:v>3288308.7841762388</c:v>
                </c:pt>
                <c:pt idx="251">
                  <c:v>3252987.1784915738</c:v>
                </c:pt>
                <c:pt idx="252">
                  <c:v>3183983.0029037381</c:v>
                </c:pt>
                <c:pt idx="253">
                  <c:v>3181500.4127008449</c:v>
                </c:pt>
                <c:pt idx="254">
                  <c:v>3019258.6319806664</c:v>
                </c:pt>
                <c:pt idx="255">
                  <c:v>3019258.6319806664</c:v>
                </c:pt>
                <c:pt idx="256">
                  <c:v>3102291.8446481791</c:v>
                </c:pt>
                <c:pt idx="257">
                  <c:v>3152297.6780022671</c:v>
                </c:pt>
                <c:pt idx="258">
                  <c:v>3183980.7414149842</c:v>
                </c:pt>
                <c:pt idx="259">
                  <c:v>3190172.0050200582</c:v>
                </c:pt>
                <c:pt idx="260">
                  <c:v>3189360.5671463842</c:v>
                </c:pt>
                <c:pt idx="261">
                  <c:v>3228512.6033574473</c:v>
                </c:pt>
                <c:pt idx="262">
                  <c:v>3228476.0600839811</c:v>
                </c:pt>
                <c:pt idx="263">
                  <c:v>3287369.0178293991</c:v>
                </c:pt>
                <c:pt idx="264">
                  <c:v>3301240.6178636169</c:v>
                </c:pt>
                <c:pt idx="265">
                  <c:v>3373219.1918698335</c:v>
                </c:pt>
                <c:pt idx="266">
                  <c:v>3316097.7528527724</c:v>
                </c:pt>
                <c:pt idx="267">
                  <c:v>3301097.1896456941</c:v>
                </c:pt>
                <c:pt idx="268">
                  <c:v>3300827.1108293948</c:v>
                </c:pt>
                <c:pt idx="269">
                  <c:v>3306396.907098603</c:v>
                </c:pt>
                <c:pt idx="270">
                  <c:v>3446076.843039827</c:v>
                </c:pt>
                <c:pt idx="271">
                  <c:v>3436709.1486097788</c:v>
                </c:pt>
                <c:pt idx="272">
                  <c:v>3475943.1123585654</c:v>
                </c:pt>
                <c:pt idx="273">
                  <c:v>3513048.5713114068</c:v>
                </c:pt>
                <c:pt idx="274">
                  <c:v>3716668.8044884512</c:v>
                </c:pt>
                <c:pt idx="275">
                  <c:v>3807361.2516554827</c:v>
                </c:pt>
                <c:pt idx="276">
                  <c:v>3991889.5779568711</c:v>
                </c:pt>
                <c:pt idx="277">
                  <c:v>4195328.7727877945</c:v>
                </c:pt>
                <c:pt idx="278">
                  <c:v>4409320.2553704428</c:v>
                </c:pt>
                <c:pt idx="279">
                  <c:v>4334179.0041517131</c:v>
                </c:pt>
                <c:pt idx="280">
                  <c:v>4252037.9584276555</c:v>
                </c:pt>
                <c:pt idx="281">
                  <c:v>4374145.6430212557</c:v>
                </c:pt>
                <c:pt idx="282">
                  <c:v>4311989.596060426</c:v>
                </c:pt>
                <c:pt idx="283">
                  <c:v>4319659.895135399</c:v>
                </c:pt>
                <c:pt idx="284">
                  <c:v>4258415.8503286708</c:v>
                </c:pt>
                <c:pt idx="285">
                  <c:v>4404016.3748930674</c:v>
                </c:pt>
                <c:pt idx="286">
                  <c:v>4438158.555942215</c:v>
                </c:pt>
                <c:pt idx="287">
                  <c:v>4387009.4477337087</c:v>
                </c:pt>
                <c:pt idx="288">
                  <c:v>4242718.986285382</c:v>
                </c:pt>
                <c:pt idx="289">
                  <c:v>4218746.8599303514</c:v>
                </c:pt>
                <c:pt idx="290">
                  <c:v>4310311.3580871364</c:v>
                </c:pt>
                <c:pt idx="291">
                  <c:v>4412322.5471114963</c:v>
                </c:pt>
                <c:pt idx="292">
                  <c:v>4409000.3942916449</c:v>
                </c:pt>
                <c:pt idx="293">
                  <c:v>4401945.9951516455</c:v>
                </c:pt>
                <c:pt idx="294">
                  <c:v>4414615.6735489843</c:v>
                </c:pt>
                <c:pt idx="295">
                  <c:v>4432663.7287871679</c:v>
                </c:pt>
                <c:pt idx="296">
                  <c:v>4492271.1510981135</c:v>
                </c:pt>
                <c:pt idx="297">
                  <c:v>4459387.6646215199</c:v>
                </c:pt>
                <c:pt idx="298">
                  <c:v>4432310.479077559</c:v>
                </c:pt>
                <c:pt idx="299">
                  <c:v>4458068.8612443581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7B-43D2-9B4B-D97B48B71BC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主板!$X$2:$X$301</c:f>
              <c:numCache>
                <c:formatCode>General</c:formatCode>
                <c:ptCount val="300"/>
                <c:pt idx="0">
                  <c:v>1000000</c:v>
                </c:pt>
                <c:pt idx="1">
                  <c:v>999668.99715281022</c:v>
                </c:pt>
                <c:pt idx="2">
                  <c:v>992239.66065779503</c:v>
                </c:pt>
                <c:pt idx="3">
                  <c:v>1064278.0771176834</c:v>
                </c:pt>
                <c:pt idx="4">
                  <c:v>1051549.370113817</c:v>
                </c:pt>
                <c:pt idx="5">
                  <c:v>1073599.7822452977</c:v>
                </c:pt>
                <c:pt idx="6">
                  <c:v>1179752.1851438866</c:v>
                </c:pt>
                <c:pt idx="7">
                  <c:v>1180529.2246899428</c:v>
                </c:pt>
                <c:pt idx="8">
                  <c:v>1128574.3639414681</c:v>
                </c:pt>
                <c:pt idx="9">
                  <c:v>1119912.9239048739</c:v>
                </c:pt>
                <c:pt idx="10">
                  <c:v>1156787.7935845007</c:v>
                </c:pt>
                <c:pt idx="11">
                  <c:v>1178236.3183115514</c:v>
                </c:pt>
                <c:pt idx="12">
                  <c:v>1233765.0480468727</c:v>
                </c:pt>
                <c:pt idx="13">
                  <c:v>1250921.5290582734</c:v>
                </c:pt>
                <c:pt idx="14">
                  <c:v>1271727.365018572</c:v>
                </c:pt>
                <c:pt idx="15">
                  <c:v>1257526.4704039069</c:v>
                </c:pt>
                <c:pt idx="16">
                  <c:v>1275594.8491874998</c:v>
                </c:pt>
                <c:pt idx="17">
                  <c:v>1271437.2122371565</c:v>
                </c:pt>
                <c:pt idx="18">
                  <c:v>1261391.2770871832</c:v>
                </c:pt>
                <c:pt idx="19">
                  <c:v>1260132.0916158184</c:v>
                </c:pt>
                <c:pt idx="20">
                  <c:v>1241426.8510196568</c:v>
                </c:pt>
                <c:pt idx="21">
                  <c:v>1261311.5017961578</c:v>
                </c:pt>
                <c:pt idx="22">
                  <c:v>1250011.6540792855</c:v>
                </c:pt>
                <c:pt idx="23">
                  <c:v>1295821.3325026596</c:v>
                </c:pt>
                <c:pt idx="24">
                  <c:v>1282093.1004390358</c:v>
                </c:pt>
                <c:pt idx="25">
                  <c:v>1294948.8737003703</c:v>
                </c:pt>
                <c:pt idx="26">
                  <c:v>1290919.7972064053</c:v>
                </c:pt>
                <c:pt idx="27">
                  <c:v>1270046.016246062</c:v>
                </c:pt>
                <c:pt idx="28">
                  <c:v>1330570.3808772715</c:v>
                </c:pt>
                <c:pt idx="29">
                  <c:v>1371446.9926538274</c:v>
                </c:pt>
                <c:pt idx="30">
                  <c:v>1370705.4298244603</c:v>
                </c:pt>
                <c:pt idx="31">
                  <c:v>1309355.1049879454</c:v>
                </c:pt>
                <c:pt idx="32">
                  <c:v>1245898.1112237526</c:v>
                </c:pt>
                <c:pt idx="33">
                  <c:v>1283469.2221790659</c:v>
                </c:pt>
                <c:pt idx="34">
                  <c:v>1271637.9252470585</c:v>
                </c:pt>
                <c:pt idx="35">
                  <c:v>1274028.518492501</c:v>
                </c:pt>
                <c:pt idx="36">
                  <c:v>1282720.8348065265</c:v>
                </c:pt>
                <c:pt idx="37">
                  <c:v>1267841.9441435258</c:v>
                </c:pt>
                <c:pt idx="38">
                  <c:v>1289517.285555627</c:v>
                </c:pt>
                <c:pt idx="39">
                  <c:v>1314098.923930808</c:v>
                </c:pt>
                <c:pt idx="40">
                  <c:v>1362375.5099903899</c:v>
                </c:pt>
                <c:pt idx="41">
                  <c:v>1358860.4744598945</c:v>
                </c:pt>
                <c:pt idx="42">
                  <c:v>1369228.7795057965</c:v>
                </c:pt>
                <c:pt idx="43">
                  <c:v>1369228.7795057965</c:v>
                </c:pt>
                <c:pt idx="44">
                  <c:v>1369228.7795057965</c:v>
                </c:pt>
                <c:pt idx="45">
                  <c:v>1369228.7795057965</c:v>
                </c:pt>
                <c:pt idx="46">
                  <c:v>1353802.6035717085</c:v>
                </c:pt>
                <c:pt idx="47">
                  <c:v>1348662.4155600071</c:v>
                </c:pt>
                <c:pt idx="48">
                  <c:v>1343975.176564547</c:v>
                </c:pt>
                <c:pt idx="49">
                  <c:v>1375811.6380997172</c:v>
                </c:pt>
                <c:pt idx="50">
                  <c:v>1427529.4014365182</c:v>
                </c:pt>
                <c:pt idx="51">
                  <c:v>1435370.8454163461</c:v>
                </c:pt>
                <c:pt idx="52">
                  <c:v>1413789.5904712039</c:v>
                </c:pt>
                <c:pt idx="53">
                  <c:v>1407970.1262263975</c:v>
                </c:pt>
                <c:pt idx="54">
                  <c:v>1464036.4848447959</c:v>
                </c:pt>
                <c:pt idx="55">
                  <c:v>1469051.9535662422</c:v>
                </c:pt>
                <c:pt idx="56">
                  <c:v>1408637.8672589413</c:v>
                </c:pt>
                <c:pt idx="57">
                  <c:v>1424889.3864063658</c:v>
                </c:pt>
                <c:pt idx="58">
                  <c:v>1360230.4079481098</c:v>
                </c:pt>
                <c:pt idx="59">
                  <c:v>1296219.5047160292</c:v>
                </c:pt>
                <c:pt idx="60">
                  <c:v>1297045.5092750662</c:v>
                </c:pt>
                <c:pt idx="61">
                  <c:v>1306065.0487382256</c:v>
                </c:pt>
                <c:pt idx="62">
                  <c:v>1307927.9612315139</c:v>
                </c:pt>
                <c:pt idx="63">
                  <c:v>1279227.0198957482</c:v>
                </c:pt>
                <c:pt idx="64">
                  <c:v>1249925.0984716029</c:v>
                </c:pt>
                <c:pt idx="65">
                  <c:v>1289614.7627145541</c:v>
                </c:pt>
                <c:pt idx="66">
                  <c:v>1333862.3334840885</c:v>
                </c:pt>
                <c:pt idx="67">
                  <c:v>1325301.7471003779</c:v>
                </c:pt>
                <c:pt idx="68">
                  <c:v>1294868.2001908973</c:v>
                </c:pt>
                <c:pt idx="69">
                  <c:v>1293896.2892435677</c:v>
                </c:pt>
                <c:pt idx="70">
                  <c:v>1299140.7599998179</c:v>
                </c:pt>
                <c:pt idx="71">
                  <c:v>1292724.2040853298</c:v>
                </c:pt>
                <c:pt idx="72">
                  <c:v>1261330.7340222551</c:v>
                </c:pt>
                <c:pt idx="73">
                  <c:v>1191877.4258331705</c:v>
                </c:pt>
                <c:pt idx="74">
                  <c:v>1191273.9475600177</c:v>
                </c:pt>
                <c:pt idx="75">
                  <c:v>1242810.6224617548</c:v>
                </c:pt>
                <c:pt idx="76">
                  <c:v>1200440.6325540801</c:v>
                </c:pt>
                <c:pt idx="77">
                  <c:v>1218059.0532141025</c:v>
                </c:pt>
                <c:pt idx="78">
                  <c:v>1218015.1133871931</c:v>
                </c:pt>
                <c:pt idx="79">
                  <c:v>1176453.6161161563</c:v>
                </c:pt>
                <c:pt idx="80">
                  <c:v>1150062.597659929</c:v>
                </c:pt>
                <c:pt idx="81">
                  <c:v>1094823.9873251582</c:v>
                </c:pt>
                <c:pt idx="82">
                  <c:v>1106800.7125123725</c:v>
                </c:pt>
                <c:pt idx="83">
                  <c:v>1068647.6043419607</c:v>
                </c:pt>
                <c:pt idx="84">
                  <c:v>1102456.2733975523</c:v>
                </c:pt>
                <c:pt idx="85">
                  <c:v>1109693.3752873098</c:v>
                </c:pt>
                <c:pt idx="86">
                  <c:v>1095801.7730628983</c:v>
                </c:pt>
                <c:pt idx="87">
                  <c:v>1081539.7497454423</c:v>
                </c:pt>
                <c:pt idx="88">
                  <c:v>1089230.4725242585</c:v>
                </c:pt>
                <c:pt idx="89">
                  <c:v>1150695.3623197256</c:v>
                </c:pt>
                <c:pt idx="90">
                  <c:v>1127834.9797085719</c:v>
                </c:pt>
                <c:pt idx="91">
                  <c:v>1055017.7052228849</c:v>
                </c:pt>
                <c:pt idx="92">
                  <c:v>1092982.5534319782</c:v>
                </c:pt>
                <c:pt idx="93">
                  <c:v>1200264.9362255968</c:v>
                </c:pt>
                <c:pt idx="94">
                  <c:v>1227353.6036845115</c:v>
                </c:pt>
                <c:pt idx="95">
                  <c:v>1310342.8742817144</c:v>
                </c:pt>
                <c:pt idx="96">
                  <c:v>1368385.7792706576</c:v>
                </c:pt>
                <c:pt idx="97">
                  <c:v>1368385.7792706576</c:v>
                </c:pt>
                <c:pt idx="98">
                  <c:v>1368385.7792706576</c:v>
                </c:pt>
                <c:pt idx="99">
                  <c:v>1368385.7792706576</c:v>
                </c:pt>
                <c:pt idx="100">
                  <c:v>1368385.7792706576</c:v>
                </c:pt>
                <c:pt idx="101">
                  <c:v>1368385.7792706576</c:v>
                </c:pt>
                <c:pt idx="102">
                  <c:v>1368385.7792706576</c:v>
                </c:pt>
                <c:pt idx="103">
                  <c:v>1368385.7792706576</c:v>
                </c:pt>
                <c:pt idx="104">
                  <c:v>1368385.7792706576</c:v>
                </c:pt>
                <c:pt idx="105">
                  <c:v>1433842.9744499372</c:v>
                </c:pt>
                <c:pt idx="106">
                  <c:v>1429391.477232839</c:v>
                </c:pt>
                <c:pt idx="107">
                  <c:v>1434758.0839084447</c:v>
                </c:pt>
                <c:pt idx="108">
                  <c:v>1499550.6950053456</c:v>
                </c:pt>
                <c:pt idx="109">
                  <c:v>1432756.1400924253</c:v>
                </c:pt>
                <c:pt idx="110">
                  <c:v>1446342.7143439713</c:v>
                </c:pt>
                <c:pt idx="111">
                  <c:v>1441323.6693289471</c:v>
                </c:pt>
                <c:pt idx="112">
                  <c:v>1436458.7866312079</c:v>
                </c:pt>
                <c:pt idx="113">
                  <c:v>1418241.4405525872</c:v>
                </c:pt>
                <c:pt idx="114">
                  <c:v>1430312.6948263659</c:v>
                </c:pt>
                <c:pt idx="115">
                  <c:v>1460300.3373746828</c:v>
                </c:pt>
                <c:pt idx="116">
                  <c:v>1501938.3974696361</c:v>
                </c:pt>
                <c:pt idx="117">
                  <c:v>1512522.147079047</c:v>
                </c:pt>
                <c:pt idx="118">
                  <c:v>1640761.7692105479</c:v>
                </c:pt>
                <c:pt idx="119">
                  <c:v>1614535.0896147361</c:v>
                </c:pt>
                <c:pt idx="120">
                  <c:v>1508296.612215169</c:v>
                </c:pt>
                <c:pt idx="121">
                  <c:v>1537348.2507257918</c:v>
                </c:pt>
                <c:pt idx="122">
                  <c:v>1666256.9452486285</c:v>
                </c:pt>
                <c:pt idx="123">
                  <c:v>1683097.7486890189</c:v>
                </c:pt>
                <c:pt idx="124">
                  <c:v>1671456.5233020342</c:v>
                </c:pt>
                <c:pt idx="125">
                  <c:v>1707075.7019361209</c:v>
                </c:pt>
                <c:pt idx="126">
                  <c:v>1699424.3726935699</c:v>
                </c:pt>
                <c:pt idx="127">
                  <c:v>1692382.5642647669</c:v>
                </c:pt>
                <c:pt idx="128">
                  <c:v>1743814.013849776</c:v>
                </c:pt>
                <c:pt idx="129">
                  <c:v>1831869.7833064385</c:v>
                </c:pt>
                <c:pt idx="130">
                  <c:v>1832018.7376154338</c:v>
                </c:pt>
                <c:pt idx="131">
                  <c:v>1891421.2166145919</c:v>
                </c:pt>
                <c:pt idx="132">
                  <c:v>1782898.8113307818</c:v>
                </c:pt>
                <c:pt idx="133">
                  <c:v>1759635.2380501614</c:v>
                </c:pt>
                <c:pt idx="134">
                  <c:v>1699063.8264456254</c:v>
                </c:pt>
                <c:pt idx="135">
                  <c:v>1770642.2453379959</c:v>
                </c:pt>
                <c:pt idx="136">
                  <c:v>1782638.0485931467</c:v>
                </c:pt>
                <c:pt idx="137">
                  <c:v>1920023.678942068</c:v>
                </c:pt>
                <c:pt idx="138">
                  <c:v>1838582.900411706</c:v>
                </c:pt>
                <c:pt idx="139">
                  <c:v>1831870.6592567307</c:v>
                </c:pt>
                <c:pt idx="140">
                  <c:v>1811698.0873727368</c:v>
                </c:pt>
                <c:pt idx="141">
                  <c:v>1832254.2002746814</c:v>
                </c:pt>
                <c:pt idx="142">
                  <c:v>1856166.8821879115</c:v>
                </c:pt>
                <c:pt idx="143">
                  <c:v>1866898.9698630965</c:v>
                </c:pt>
                <c:pt idx="144">
                  <c:v>1939676.6819435852</c:v>
                </c:pt>
                <c:pt idx="145">
                  <c:v>1985660.0188884705</c:v>
                </c:pt>
                <c:pt idx="146">
                  <c:v>2180721.3664361262</c:v>
                </c:pt>
                <c:pt idx="147">
                  <c:v>2227649.5179975773</c:v>
                </c:pt>
                <c:pt idx="148">
                  <c:v>2372298.3828852535</c:v>
                </c:pt>
                <c:pt idx="149">
                  <c:v>2360192.3370595439</c:v>
                </c:pt>
                <c:pt idx="150">
                  <c:v>2311172.3710543276</c:v>
                </c:pt>
                <c:pt idx="151">
                  <c:v>2355845.2301034261</c:v>
                </c:pt>
                <c:pt idx="152">
                  <c:v>2309421.7081215037</c:v>
                </c:pt>
                <c:pt idx="153">
                  <c:v>2362592.5366833666</c:v>
                </c:pt>
                <c:pt idx="154">
                  <c:v>2427748.8075278006</c:v>
                </c:pt>
                <c:pt idx="155">
                  <c:v>2488198.8664926011</c:v>
                </c:pt>
                <c:pt idx="156">
                  <c:v>2392770.4880485879</c:v>
                </c:pt>
                <c:pt idx="157">
                  <c:v>2486813.3513463042</c:v>
                </c:pt>
                <c:pt idx="158">
                  <c:v>2458202.0590415113</c:v>
                </c:pt>
                <c:pt idx="159">
                  <c:v>2466822.7991422201</c:v>
                </c:pt>
                <c:pt idx="160">
                  <c:v>2514013.9089909028</c:v>
                </c:pt>
                <c:pt idx="161">
                  <c:v>2492248.1965022306</c:v>
                </c:pt>
                <c:pt idx="162">
                  <c:v>2511230.9151975475</c:v>
                </c:pt>
                <c:pt idx="163">
                  <c:v>2555286.5485654362</c:v>
                </c:pt>
                <c:pt idx="164">
                  <c:v>2486416.2908110055</c:v>
                </c:pt>
                <c:pt idx="165">
                  <c:v>2451367.8659537928</c:v>
                </c:pt>
                <c:pt idx="166">
                  <c:v>2436713.4215838527</c:v>
                </c:pt>
                <c:pt idx="167">
                  <c:v>2436710.0518305525</c:v>
                </c:pt>
                <c:pt idx="168">
                  <c:v>2428971.8007910755</c:v>
                </c:pt>
                <c:pt idx="169">
                  <c:v>2434654.7277171821</c:v>
                </c:pt>
                <c:pt idx="170">
                  <c:v>2433145.440027725</c:v>
                </c:pt>
                <c:pt idx="171">
                  <c:v>2364329.4616349502</c:v>
                </c:pt>
                <c:pt idx="172">
                  <c:v>2400096.5005620164</c:v>
                </c:pt>
                <c:pt idx="173">
                  <c:v>2462493.9186462439</c:v>
                </c:pt>
                <c:pt idx="174">
                  <c:v>2392686.4291835404</c:v>
                </c:pt>
                <c:pt idx="175">
                  <c:v>2417857.7560259523</c:v>
                </c:pt>
                <c:pt idx="176">
                  <c:v>2655211.138442324</c:v>
                </c:pt>
                <c:pt idx="177">
                  <c:v>2586232.7582232426</c:v>
                </c:pt>
                <c:pt idx="178">
                  <c:v>2557301.0059988326</c:v>
                </c:pt>
                <c:pt idx="179">
                  <c:v>2579053.0594722652</c:v>
                </c:pt>
                <c:pt idx="180">
                  <c:v>2460306.1751706274</c:v>
                </c:pt>
                <c:pt idx="181">
                  <c:v>2554041.3912100196</c:v>
                </c:pt>
                <c:pt idx="182">
                  <c:v>2580248.4567338317</c:v>
                </c:pt>
                <c:pt idx="183">
                  <c:v>2631437.7940772916</c:v>
                </c:pt>
                <c:pt idx="184">
                  <c:v>2890722.2896685149</c:v>
                </c:pt>
                <c:pt idx="185">
                  <c:v>2847546.585577915</c:v>
                </c:pt>
                <c:pt idx="186">
                  <c:v>2851541.5035405192</c:v>
                </c:pt>
                <c:pt idx="187">
                  <c:v>2809884.4803650128</c:v>
                </c:pt>
                <c:pt idx="188">
                  <c:v>2734833.3501412161</c:v>
                </c:pt>
                <c:pt idx="189">
                  <c:v>2705493.7987651322</c:v>
                </c:pt>
                <c:pt idx="190">
                  <c:v>2647093.0247594584</c:v>
                </c:pt>
                <c:pt idx="191">
                  <c:v>2808767.3726590127</c:v>
                </c:pt>
                <c:pt idx="192">
                  <c:v>2830453.5391671681</c:v>
                </c:pt>
                <c:pt idx="193">
                  <c:v>2816769.9170008413</c:v>
                </c:pt>
                <c:pt idx="194">
                  <c:v>2892516.9118344635</c:v>
                </c:pt>
                <c:pt idx="195">
                  <c:v>2829976.9778004452</c:v>
                </c:pt>
                <c:pt idx="196">
                  <c:v>2779003.8227149802</c:v>
                </c:pt>
                <c:pt idx="197">
                  <c:v>2799444.7752563055</c:v>
                </c:pt>
                <c:pt idx="198">
                  <c:v>2665870.2295349394</c:v>
                </c:pt>
                <c:pt idx="199">
                  <c:v>2625079.2509944928</c:v>
                </c:pt>
                <c:pt idx="200">
                  <c:v>2625079.2509944928</c:v>
                </c:pt>
                <c:pt idx="201">
                  <c:v>2587861.2487423839</c:v>
                </c:pt>
                <c:pt idx="202">
                  <c:v>2628839.0645179497</c:v>
                </c:pt>
                <c:pt idx="203">
                  <c:v>2734010.6530574854</c:v>
                </c:pt>
                <c:pt idx="204">
                  <c:v>2753054.5998086543</c:v>
                </c:pt>
                <c:pt idx="205">
                  <c:v>2796421.1620160495</c:v>
                </c:pt>
                <c:pt idx="206">
                  <c:v>2794156.3938781251</c:v>
                </c:pt>
                <c:pt idx="207">
                  <c:v>2792887.5695186253</c:v>
                </c:pt>
                <c:pt idx="208">
                  <c:v>2718127.7223962443</c:v>
                </c:pt>
                <c:pt idx="209">
                  <c:v>2694087.9924693117</c:v>
                </c:pt>
                <c:pt idx="210">
                  <c:v>2766334.5131256841</c:v>
                </c:pt>
                <c:pt idx="211">
                  <c:v>2862636.6970494809</c:v>
                </c:pt>
                <c:pt idx="212">
                  <c:v>2853345.5442632209</c:v>
                </c:pt>
                <c:pt idx="213">
                  <c:v>2849878.1550942319</c:v>
                </c:pt>
                <c:pt idx="214">
                  <c:v>2789311.6099280161</c:v>
                </c:pt>
                <c:pt idx="215">
                  <c:v>2693080.4301503305</c:v>
                </c:pt>
                <c:pt idx="216">
                  <c:v>2697705.5189096769</c:v>
                </c:pt>
                <c:pt idx="217">
                  <c:v>2745686.2624959936</c:v>
                </c:pt>
                <c:pt idx="218">
                  <c:v>2951570.4343689489</c:v>
                </c:pt>
                <c:pt idx="219">
                  <c:v>2968118.0141145997</c:v>
                </c:pt>
                <c:pt idx="220">
                  <c:v>3121784.225476725</c:v>
                </c:pt>
                <c:pt idx="221">
                  <c:v>3198248.6294623706</c:v>
                </c:pt>
                <c:pt idx="222">
                  <c:v>3159421.1604006798</c:v>
                </c:pt>
                <c:pt idx="223">
                  <c:v>3154540.3984595914</c:v>
                </c:pt>
                <c:pt idx="224">
                  <c:v>3137995.975460168</c:v>
                </c:pt>
                <c:pt idx="225">
                  <c:v>3253048.3673575167</c:v>
                </c:pt>
                <c:pt idx="226">
                  <c:v>3149752.9829349988</c:v>
                </c:pt>
                <c:pt idx="227">
                  <c:v>3196519.0080571803</c:v>
                </c:pt>
                <c:pt idx="228">
                  <c:v>3357391.387119865</c:v>
                </c:pt>
                <c:pt idx="229">
                  <c:v>3437655.5036775628</c:v>
                </c:pt>
                <c:pt idx="230">
                  <c:v>3490598.6100524068</c:v>
                </c:pt>
                <c:pt idx="231">
                  <c:v>3533935.3043402871</c:v>
                </c:pt>
                <c:pt idx="232">
                  <c:v>3472945.3848952074</c:v>
                </c:pt>
                <c:pt idx="233">
                  <c:v>3489870.9441841301</c:v>
                </c:pt>
                <c:pt idx="234">
                  <c:v>3621710.0509350668</c:v>
                </c:pt>
                <c:pt idx="235">
                  <c:v>3581005.538747116</c:v>
                </c:pt>
                <c:pt idx="236">
                  <c:v>3612446.1246739761</c:v>
                </c:pt>
                <c:pt idx="237">
                  <c:v>3630483.2497257129</c:v>
                </c:pt>
                <c:pt idx="238">
                  <c:v>3719095.3719473896</c:v>
                </c:pt>
                <c:pt idx="239">
                  <c:v>3787854.5235862611</c:v>
                </c:pt>
                <c:pt idx="240">
                  <c:v>3811257.0651813252</c:v>
                </c:pt>
                <c:pt idx="241">
                  <c:v>3811257.0651813252</c:v>
                </c:pt>
                <c:pt idx="242">
                  <c:v>3811257.0651813252</c:v>
                </c:pt>
                <c:pt idx="243">
                  <c:v>3811257.0651813252</c:v>
                </c:pt>
                <c:pt idx="244">
                  <c:v>3811257.0651813252</c:v>
                </c:pt>
                <c:pt idx="245">
                  <c:v>3811257.0651813252</c:v>
                </c:pt>
                <c:pt idx="246">
                  <c:v>3811257.0651813252</c:v>
                </c:pt>
                <c:pt idx="247">
                  <c:v>3811257.0651813252</c:v>
                </c:pt>
                <c:pt idx="248">
                  <c:v>3811257.0651813252</c:v>
                </c:pt>
                <c:pt idx="249">
                  <c:v>3811257.0651813252</c:v>
                </c:pt>
                <c:pt idx="250">
                  <c:v>3811257.0651813252</c:v>
                </c:pt>
                <c:pt idx="251">
                  <c:v>3811257.0651813252</c:v>
                </c:pt>
                <c:pt idx="252">
                  <c:v>3811257.0651813252</c:v>
                </c:pt>
                <c:pt idx="253">
                  <c:v>3811257.0651813252</c:v>
                </c:pt>
                <c:pt idx="254">
                  <c:v>3811257.0651813252</c:v>
                </c:pt>
                <c:pt idx="255">
                  <c:v>3811257.0651813252</c:v>
                </c:pt>
                <c:pt idx="256">
                  <c:v>3811257.0651813252</c:v>
                </c:pt>
                <c:pt idx="257">
                  <c:v>3893382.9113767552</c:v>
                </c:pt>
                <c:pt idx="258">
                  <c:v>3932513.9433231791</c:v>
                </c:pt>
                <c:pt idx="259">
                  <c:v>3940160.6407043901</c:v>
                </c:pt>
                <c:pt idx="260">
                  <c:v>3939158.4278018144</c:v>
                </c:pt>
                <c:pt idx="261">
                  <c:v>3962295.617190911</c:v>
                </c:pt>
                <c:pt idx="262">
                  <c:v>3942396.7740191175</c:v>
                </c:pt>
                <c:pt idx="263">
                  <c:v>4004662.0549591072</c:v>
                </c:pt>
                <c:pt idx="264">
                  <c:v>4016442.1863514641</c:v>
                </c:pt>
                <c:pt idx="265">
                  <c:v>4016442.1863514641</c:v>
                </c:pt>
                <c:pt idx="266">
                  <c:v>4016442.1863514641</c:v>
                </c:pt>
                <c:pt idx="267">
                  <c:v>4016442.1863514641</c:v>
                </c:pt>
                <c:pt idx="268">
                  <c:v>4016442.1863514641</c:v>
                </c:pt>
                <c:pt idx="269">
                  <c:v>4016442.1863514641</c:v>
                </c:pt>
                <c:pt idx="270">
                  <c:v>4016442.1863514641</c:v>
                </c:pt>
                <c:pt idx="271">
                  <c:v>4016442.1863514641</c:v>
                </c:pt>
                <c:pt idx="272">
                  <c:v>4016442.1863514641</c:v>
                </c:pt>
                <c:pt idx="273">
                  <c:v>4036356.5524596456</c:v>
                </c:pt>
                <c:pt idx="274">
                  <c:v>4228965.8269972131</c:v>
                </c:pt>
                <c:pt idx="275">
                  <c:v>4332159.0436942801</c:v>
                </c:pt>
                <c:pt idx="276">
                  <c:v>4542122.2235100921</c:v>
                </c:pt>
                <c:pt idx="277">
                  <c:v>4695534.4486162215</c:v>
                </c:pt>
                <c:pt idx="278">
                  <c:v>4842658.8647418171</c:v>
                </c:pt>
                <c:pt idx="279">
                  <c:v>4791006.4354966218</c:v>
                </c:pt>
                <c:pt idx="280">
                  <c:v>4716623.5879226001</c:v>
                </c:pt>
                <c:pt idx="281">
                  <c:v>4661173.6856338261</c:v>
                </c:pt>
                <c:pt idx="282">
                  <c:v>4624112.5477505149</c:v>
                </c:pt>
                <c:pt idx="283">
                  <c:v>4558257.0460506994</c:v>
                </c:pt>
                <c:pt idx="284">
                  <c:v>4464926.9539157981</c:v>
                </c:pt>
                <c:pt idx="285">
                  <c:v>4449369.6453671698</c:v>
                </c:pt>
                <c:pt idx="286">
                  <c:v>4417669.1543188877</c:v>
                </c:pt>
                <c:pt idx="287">
                  <c:v>4316730.2062021447</c:v>
                </c:pt>
                <c:pt idx="288">
                  <c:v>4204276.039329743</c:v>
                </c:pt>
                <c:pt idx="289">
                  <c:v>4178516.8541136612</c:v>
                </c:pt>
                <c:pt idx="290">
                  <c:v>4313895.9156074543</c:v>
                </c:pt>
                <c:pt idx="291">
                  <c:v>4503539.9600394303</c:v>
                </c:pt>
                <c:pt idx="292">
                  <c:v>4475785.5105802575</c:v>
                </c:pt>
                <c:pt idx="293">
                  <c:v>4531167.5264586061</c:v>
                </c:pt>
                <c:pt idx="294">
                  <c:v>4680136.2843748098</c:v>
                </c:pt>
                <c:pt idx="295">
                  <c:v>4747541.8830702985</c:v>
                </c:pt>
                <c:pt idx="296">
                  <c:v>4748006.2881443556</c:v>
                </c:pt>
                <c:pt idx="297">
                  <c:v>4729813.0207771882</c:v>
                </c:pt>
                <c:pt idx="298">
                  <c:v>4741711.8973202137</c:v>
                </c:pt>
                <c:pt idx="299">
                  <c:v>4737332.8051850712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3-47A2-BE91-C4A5592F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723679"/>
        <c:axId val="129272079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主板!$G$1</c15:sqref>
                        </c15:formulaRef>
                      </c:ext>
                    </c:extLst>
                    <c:strCache>
                      <c:ptCount val="1"/>
                      <c:pt idx="0">
                        <c:v>qid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主板!$G$1:$G$301</c15:sqref>
                        </c15:formulaRef>
                      </c:ext>
                    </c:extLst>
                    <c:strCache>
                      <c:ptCount val="264"/>
                      <c:pt idx="0">
                        <c:v>qid</c:v>
                      </c:pt>
                      <c:pt idx="1">
                        <c:v>2021/Q4</c:v>
                      </c:pt>
                      <c:pt idx="31">
                        <c:v>2022/Q1</c:v>
                      </c:pt>
                      <c:pt idx="79">
                        <c:v>2022/Q2</c:v>
                      </c:pt>
                      <c:pt idx="138">
                        <c:v>2022/Q3</c:v>
                      </c:pt>
                      <c:pt idx="203">
                        <c:v>2022/Q4</c:v>
                      </c:pt>
                      <c:pt idx="263">
                        <c:v>2023/Q1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主板!$G$2:$G$301</c15:sqref>
                        </c15:formulaRef>
                      </c:ext>
                    </c:extLst>
                    <c:numCache>
                      <c:formatCode>m/d/yyyy</c:formatCode>
                      <c:ptCount val="300"/>
                      <c:pt idx="0">
                        <c:v>0</c:v>
                      </c:pt>
                      <c:pt idx="30">
                        <c:v>0</c:v>
                      </c:pt>
                      <c:pt idx="78">
                        <c:v>0</c:v>
                      </c:pt>
                      <c:pt idx="137">
                        <c:v>0</c:v>
                      </c:pt>
                      <c:pt idx="202">
                        <c:v>0</c:v>
                      </c:pt>
                      <c:pt idx="26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17B-43D2-9B4B-D97B48B71BCA}"/>
                  </c:ext>
                </c:extLst>
              </c15:ser>
            </c15:filteredLineSeries>
          </c:ext>
        </c:extLst>
      </c:lineChart>
      <c:catAx>
        <c:axId val="12927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2720799"/>
        <c:crosses val="autoZero"/>
        <c:auto val="1"/>
        <c:lblAlgn val="ctr"/>
        <c:lblOffset val="100"/>
        <c:noMultiLvlLbl val="1"/>
      </c:catAx>
      <c:valAx>
        <c:axId val="1292720799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272367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5978695073235686E-2"/>
          <c:w val="0.59862955402179663"/>
          <c:h val="0.55025009539005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主板!$P$1</c:f>
              <c:strCache>
                <c:ptCount val="1"/>
                <c:pt idx="0">
                  <c:v>LambdaMART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主板!$G$2:$G$301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主板!$P$2:$P$301</c:f>
              <c:numCache>
                <c:formatCode>General</c:formatCode>
                <c:ptCount val="300"/>
                <c:pt idx="0">
                  <c:v>1000000</c:v>
                </c:pt>
                <c:pt idx="1">
                  <c:v>1031612.04926</c:v>
                </c:pt>
                <c:pt idx="2">
                  <c:v>1030912.380559998</c:v>
                </c:pt>
                <c:pt idx="3">
                  <c:v>1058969.7458999981</c:v>
                </c:pt>
                <c:pt idx="4">
                  <c:v>1073672.64182</c:v>
                </c:pt>
                <c:pt idx="5">
                  <c:v>1081566.6663999981</c:v>
                </c:pt>
                <c:pt idx="6">
                  <c:v>1111360.4711799999</c:v>
                </c:pt>
                <c:pt idx="7">
                  <c:v>1106817.68392</c:v>
                </c:pt>
                <c:pt idx="8">
                  <c:v>1097915.2614599981</c:v>
                </c:pt>
                <c:pt idx="9">
                  <c:v>1089501.5741799981</c:v>
                </c:pt>
                <c:pt idx="10">
                  <c:v>1125326.956159998</c:v>
                </c:pt>
                <c:pt idx="11">
                  <c:v>1146182.5612399981</c:v>
                </c:pt>
                <c:pt idx="12">
                  <c:v>1200120.7604799981</c:v>
                </c:pt>
                <c:pt idx="13">
                  <c:v>1216804.8565199999</c:v>
                </c:pt>
                <c:pt idx="14">
                  <c:v>1237013.83662</c:v>
                </c:pt>
                <c:pt idx="15">
                  <c:v>1223206.85852</c:v>
                </c:pt>
                <c:pt idx="16">
                  <c:v>1240814.1497199999</c:v>
                </c:pt>
                <c:pt idx="17">
                  <c:v>1249518.3461200001</c:v>
                </c:pt>
                <c:pt idx="18">
                  <c:v>1237998.6307000001</c:v>
                </c:pt>
                <c:pt idx="19">
                  <c:v>1236849.73526</c:v>
                </c:pt>
                <c:pt idx="20">
                  <c:v>1219782.85662</c:v>
                </c:pt>
                <c:pt idx="21">
                  <c:v>1227320.0082800002</c:v>
                </c:pt>
                <c:pt idx="22">
                  <c:v>1210703.3719599999</c:v>
                </c:pt>
                <c:pt idx="23">
                  <c:v>1244959.52302</c:v>
                </c:pt>
                <c:pt idx="24">
                  <c:v>1228405.95276</c:v>
                </c:pt>
                <c:pt idx="25">
                  <c:v>1242232.8610999999</c:v>
                </c:pt>
                <c:pt idx="26">
                  <c:v>1231525.3294800001</c:v>
                </c:pt>
                <c:pt idx="27">
                  <c:v>1208458.0395</c:v>
                </c:pt>
                <c:pt idx="28">
                  <c:v>1270859.38962</c:v>
                </c:pt>
                <c:pt idx="29">
                  <c:v>1294010.1946399999</c:v>
                </c:pt>
                <c:pt idx="30">
                  <c:v>1314456.79262</c:v>
                </c:pt>
                <c:pt idx="31">
                  <c:v>1283467.8172599999</c:v>
                </c:pt>
                <c:pt idx="32">
                  <c:v>1212738.8016199979</c:v>
                </c:pt>
                <c:pt idx="33">
                  <c:v>1231287.6788799982</c:v>
                </c:pt>
                <c:pt idx="34">
                  <c:v>1171200.3958199979</c:v>
                </c:pt>
                <c:pt idx="35">
                  <c:v>1166651.370299998</c:v>
                </c:pt>
                <c:pt idx="36">
                  <c:v>1147046.0609399979</c:v>
                </c:pt>
                <c:pt idx="37">
                  <c:v>1149979.8429799979</c:v>
                </c:pt>
                <c:pt idx="38">
                  <c:v>1193820.0038799981</c:v>
                </c:pt>
                <c:pt idx="39">
                  <c:v>1202363.0362599981</c:v>
                </c:pt>
                <c:pt idx="40">
                  <c:v>1259143.3245999999</c:v>
                </c:pt>
                <c:pt idx="41">
                  <c:v>1251452.8591199999</c:v>
                </c:pt>
                <c:pt idx="42">
                  <c:v>1221506.85644</c:v>
                </c:pt>
                <c:pt idx="43">
                  <c:v>1221506.85644</c:v>
                </c:pt>
                <c:pt idx="44">
                  <c:v>1221506.85644</c:v>
                </c:pt>
                <c:pt idx="45">
                  <c:v>1221506.85644</c:v>
                </c:pt>
                <c:pt idx="46">
                  <c:v>1214485.83342</c:v>
                </c:pt>
                <c:pt idx="47">
                  <c:v>1211012.27722</c:v>
                </c:pt>
                <c:pt idx="48">
                  <c:v>1218348.7035000001</c:v>
                </c:pt>
                <c:pt idx="49">
                  <c:v>1231348.5731599999</c:v>
                </c:pt>
                <c:pt idx="50">
                  <c:v>1284464.31938</c:v>
                </c:pt>
                <c:pt idx="51">
                  <c:v>1252310.3553599999</c:v>
                </c:pt>
                <c:pt idx="52">
                  <c:v>1246068.4639000001</c:v>
                </c:pt>
                <c:pt idx="53">
                  <c:v>1274525.71634</c:v>
                </c:pt>
                <c:pt idx="54">
                  <c:v>1289862.6698999999</c:v>
                </c:pt>
                <c:pt idx="55">
                  <c:v>1289054.66408</c:v>
                </c:pt>
                <c:pt idx="56">
                  <c:v>1270463.6107399999</c:v>
                </c:pt>
                <c:pt idx="57">
                  <c:v>1265568.1893799999</c:v>
                </c:pt>
                <c:pt idx="58">
                  <c:v>1230505.1831199999</c:v>
                </c:pt>
                <c:pt idx="59">
                  <c:v>1211745.70462</c:v>
                </c:pt>
                <c:pt idx="60">
                  <c:v>1207405.1346799999</c:v>
                </c:pt>
                <c:pt idx="61">
                  <c:v>1212765.9252200001</c:v>
                </c:pt>
                <c:pt idx="62">
                  <c:v>1206373.3989800001</c:v>
                </c:pt>
                <c:pt idx="63">
                  <c:v>1185068.0511</c:v>
                </c:pt>
                <c:pt idx="64">
                  <c:v>1137790.81302</c:v>
                </c:pt>
                <c:pt idx="65">
                  <c:v>1173903.7952999999</c:v>
                </c:pt>
                <c:pt idx="66">
                  <c:v>1214151.3748400002</c:v>
                </c:pt>
                <c:pt idx="67">
                  <c:v>1206372.3516000002</c:v>
                </c:pt>
                <c:pt idx="68">
                  <c:v>1178728.3069</c:v>
                </c:pt>
                <c:pt idx="69">
                  <c:v>1177842.39338</c:v>
                </c:pt>
                <c:pt idx="70">
                  <c:v>1182608.3040999998</c:v>
                </c:pt>
                <c:pt idx="71">
                  <c:v>1176774.43172</c:v>
                </c:pt>
                <c:pt idx="72">
                  <c:v>1148234.1878200001</c:v>
                </c:pt>
                <c:pt idx="73">
                  <c:v>1120142.7415999998</c:v>
                </c:pt>
                <c:pt idx="74">
                  <c:v>1117832.09714</c:v>
                </c:pt>
                <c:pt idx="75">
                  <c:v>1152887.9596000002</c:v>
                </c:pt>
                <c:pt idx="76">
                  <c:v>1119108.7472399999</c:v>
                </c:pt>
                <c:pt idx="77">
                  <c:v>1133743.42392</c:v>
                </c:pt>
                <c:pt idx="78">
                  <c:v>1146773.4536599999</c:v>
                </c:pt>
                <c:pt idx="79">
                  <c:v>1118766.14166</c:v>
                </c:pt>
                <c:pt idx="80">
                  <c:v>1110110.1296999999</c:v>
                </c:pt>
                <c:pt idx="81">
                  <c:v>1056834.4788200001</c:v>
                </c:pt>
                <c:pt idx="82">
                  <c:v>1068389.1696799998</c:v>
                </c:pt>
                <c:pt idx="83">
                  <c:v>1031573.8485999999</c:v>
                </c:pt>
                <c:pt idx="84">
                  <c:v>1064184.4164200001</c:v>
                </c:pt>
                <c:pt idx="85">
                  <c:v>1071321.2588800001</c:v>
                </c:pt>
                <c:pt idx="86">
                  <c:v>1057918.16038</c:v>
                </c:pt>
                <c:pt idx="87">
                  <c:v>1044157.67426</c:v>
                </c:pt>
                <c:pt idx="88">
                  <c:v>1051575.9259399981</c:v>
                </c:pt>
                <c:pt idx="89">
                  <c:v>1024396.37448</c:v>
                </c:pt>
                <c:pt idx="90">
                  <c:v>1027100.72542</c:v>
                </c:pt>
                <c:pt idx="91">
                  <c:v>971521.20451999991</c:v>
                </c:pt>
                <c:pt idx="92">
                  <c:v>956585.19705999794</c:v>
                </c:pt>
                <c:pt idx="93">
                  <c:v>989566.88633999811</c:v>
                </c:pt>
                <c:pt idx="94">
                  <c:v>989929.38581999799</c:v>
                </c:pt>
                <c:pt idx="95">
                  <c:v>1045960.0123199981</c:v>
                </c:pt>
                <c:pt idx="96">
                  <c:v>1091982.845959998</c:v>
                </c:pt>
                <c:pt idx="97">
                  <c:v>1085600.0984599979</c:v>
                </c:pt>
                <c:pt idx="98">
                  <c:v>1092391.080459998</c:v>
                </c:pt>
                <c:pt idx="99">
                  <c:v>1078798.4425199979</c:v>
                </c:pt>
                <c:pt idx="100">
                  <c:v>1108027.5578199981</c:v>
                </c:pt>
                <c:pt idx="101">
                  <c:v>1115166.397759998</c:v>
                </c:pt>
                <c:pt idx="102">
                  <c:v>1128233.1296399981</c:v>
                </c:pt>
                <c:pt idx="103">
                  <c:v>1121022.6191799981</c:v>
                </c:pt>
                <c:pt idx="104">
                  <c:v>1119727.931059998</c:v>
                </c:pt>
                <c:pt idx="105">
                  <c:v>1140194.2631399981</c:v>
                </c:pt>
                <c:pt idx="106">
                  <c:v>1143553.3944999981</c:v>
                </c:pt>
                <c:pt idx="107">
                  <c:v>1133184.811719998</c:v>
                </c:pt>
                <c:pt idx="108">
                  <c:v>1178293.5481199981</c:v>
                </c:pt>
                <c:pt idx="109">
                  <c:v>1169351.8294399981</c:v>
                </c:pt>
                <c:pt idx="110">
                  <c:v>1185303.4153599979</c:v>
                </c:pt>
                <c:pt idx="111">
                  <c:v>1183317.0236599981</c:v>
                </c:pt>
                <c:pt idx="112">
                  <c:v>1201305.0872999979</c:v>
                </c:pt>
                <c:pt idx="113">
                  <c:v>1214005.739279998</c:v>
                </c:pt>
                <c:pt idx="114">
                  <c:v>1214481.6824199981</c:v>
                </c:pt>
                <c:pt idx="115">
                  <c:v>1264888.518759998</c:v>
                </c:pt>
                <c:pt idx="116">
                  <c:v>1285190.1888799979</c:v>
                </c:pt>
                <c:pt idx="117">
                  <c:v>1316542.5493799981</c:v>
                </c:pt>
                <c:pt idx="118">
                  <c:v>1332614.394799998</c:v>
                </c:pt>
                <c:pt idx="119">
                  <c:v>1373247.0242999981</c:v>
                </c:pt>
                <c:pt idx="120">
                  <c:v>1362586.8697999981</c:v>
                </c:pt>
                <c:pt idx="121">
                  <c:v>1394492.1851799979</c:v>
                </c:pt>
                <c:pt idx="122">
                  <c:v>1473707.7534799981</c:v>
                </c:pt>
                <c:pt idx="123">
                  <c:v>1473566.385899998</c:v>
                </c:pt>
                <c:pt idx="124">
                  <c:v>1454738.867679998</c:v>
                </c:pt>
                <c:pt idx="125">
                  <c:v>1499205.9770999979</c:v>
                </c:pt>
                <c:pt idx="126">
                  <c:v>1510263.7461999981</c:v>
                </c:pt>
                <c:pt idx="127">
                  <c:v>1512767.6774999979</c:v>
                </c:pt>
                <c:pt idx="128">
                  <c:v>1525620.2651399979</c:v>
                </c:pt>
                <c:pt idx="129">
                  <c:v>1554188.263459998</c:v>
                </c:pt>
                <c:pt idx="130">
                  <c:v>1559235.347219998</c:v>
                </c:pt>
                <c:pt idx="131">
                  <c:v>1595346.4763599981</c:v>
                </c:pt>
                <c:pt idx="132">
                  <c:v>1628272.542359998</c:v>
                </c:pt>
                <c:pt idx="133">
                  <c:v>1685890.833179998</c:v>
                </c:pt>
                <c:pt idx="134">
                  <c:v>1636777.475859998</c:v>
                </c:pt>
                <c:pt idx="135">
                  <c:v>1631599.284959998</c:v>
                </c:pt>
                <c:pt idx="136">
                  <c:v>1660795.0359199981</c:v>
                </c:pt>
                <c:pt idx="137">
                  <c:v>1729490.192859998</c:v>
                </c:pt>
                <c:pt idx="138">
                  <c:v>1676866.709279998</c:v>
                </c:pt>
                <c:pt idx="139">
                  <c:v>1670902.800459998</c:v>
                </c:pt>
                <c:pt idx="140">
                  <c:v>1690806.9188599982</c:v>
                </c:pt>
                <c:pt idx="141">
                  <c:v>1679446.6230199982</c:v>
                </c:pt>
                <c:pt idx="142">
                  <c:v>1717855.9660599981</c:v>
                </c:pt>
                <c:pt idx="143">
                  <c:v>1745330.1477199979</c:v>
                </c:pt>
                <c:pt idx="144">
                  <c:v>1847922.368899998</c:v>
                </c:pt>
                <c:pt idx="145">
                  <c:v>1910229.0210999982</c:v>
                </c:pt>
                <c:pt idx="146">
                  <c:v>2023165.6698999801</c:v>
                </c:pt>
                <c:pt idx="147">
                  <c:v>2047633.7077599801</c:v>
                </c:pt>
                <c:pt idx="148">
                  <c:v>2087719.96415998</c:v>
                </c:pt>
                <c:pt idx="149">
                  <c:v>2077784.2787199798</c:v>
                </c:pt>
                <c:pt idx="150">
                  <c:v>2066125.4524999999</c:v>
                </c:pt>
                <c:pt idx="151">
                  <c:v>2076573.3895999801</c:v>
                </c:pt>
                <c:pt idx="152">
                  <c:v>2123545.17667998</c:v>
                </c:pt>
                <c:pt idx="153">
                  <c:v>2172373.9871199997</c:v>
                </c:pt>
                <c:pt idx="154">
                  <c:v>2232244.6993199801</c:v>
                </c:pt>
                <c:pt idx="155">
                  <c:v>2287810.76516</c:v>
                </c:pt>
                <c:pt idx="156">
                  <c:v>2200172.3970400002</c:v>
                </c:pt>
                <c:pt idx="157">
                  <c:v>2286480.7445399999</c:v>
                </c:pt>
                <c:pt idx="158">
                  <c:v>2260176.4182599997</c:v>
                </c:pt>
                <c:pt idx="159">
                  <c:v>2268093.5989000001</c:v>
                </c:pt>
                <c:pt idx="160">
                  <c:v>2311473.32296</c:v>
                </c:pt>
                <c:pt idx="161">
                  <c:v>2309699.7282000002</c:v>
                </c:pt>
                <c:pt idx="162">
                  <c:v>2351911.7013400001</c:v>
                </c:pt>
                <c:pt idx="163">
                  <c:v>2379010.2363999998</c:v>
                </c:pt>
                <c:pt idx="164">
                  <c:v>2321517.50189998</c:v>
                </c:pt>
                <c:pt idx="165">
                  <c:v>2337075.7178799799</c:v>
                </c:pt>
                <c:pt idx="166">
                  <c:v>2330178.39811998</c:v>
                </c:pt>
                <c:pt idx="167">
                  <c:v>2319300.3235399802</c:v>
                </c:pt>
                <c:pt idx="168">
                  <c:v>2375210.9120199801</c:v>
                </c:pt>
                <c:pt idx="169">
                  <c:v>2421715.2240999797</c:v>
                </c:pt>
                <c:pt idx="170">
                  <c:v>2459831.7788599799</c:v>
                </c:pt>
                <c:pt idx="171">
                  <c:v>2470028.9894999797</c:v>
                </c:pt>
                <c:pt idx="172">
                  <c:v>2479898.7928599799</c:v>
                </c:pt>
                <c:pt idx="173">
                  <c:v>2486052.71593998</c:v>
                </c:pt>
                <c:pt idx="174">
                  <c:v>2447241.1094799801</c:v>
                </c:pt>
                <c:pt idx="175">
                  <c:v>2525043.3887799801</c:v>
                </c:pt>
                <c:pt idx="176">
                  <c:v>2597135.2100199801</c:v>
                </c:pt>
                <c:pt idx="177">
                  <c:v>2545001.2282599797</c:v>
                </c:pt>
                <c:pt idx="178">
                  <c:v>2512701.1025399799</c:v>
                </c:pt>
                <c:pt idx="179">
                  <c:v>2486781.7206199798</c:v>
                </c:pt>
                <c:pt idx="180">
                  <c:v>2440943.30185998</c:v>
                </c:pt>
                <c:pt idx="181">
                  <c:v>2444634.4112599799</c:v>
                </c:pt>
                <c:pt idx="182">
                  <c:v>2473151.41957998</c:v>
                </c:pt>
                <c:pt idx="183">
                  <c:v>2500718.4373599803</c:v>
                </c:pt>
                <c:pt idx="184">
                  <c:v>2549125.57497998</c:v>
                </c:pt>
                <c:pt idx="185">
                  <c:v>2511110.6102399798</c:v>
                </c:pt>
                <c:pt idx="186">
                  <c:v>2513298.8805399803</c:v>
                </c:pt>
                <c:pt idx="187">
                  <c:v>2545902.5312199802</c:v>
                </c:pt>
                <c:pt idx="188">
                  <c:v>2490808.1022399804</c:v>
                </c:pt>
                <c:pt idx="189">
                  <c:v>2425011.5202199803</c:v>
                </c:pt>
                <c:pt idx="190">
                  <c:v>2387979.7333599799</c:v>
                </c:pt>
                <c:pt idx="191">
                  <c:v>2472931.6024599802</c:v>
                </c:pt>
                <c:pt idx="192">
                  <c:v>2510589.7205999801</c:v>
                </c:pt>
                <c:pt idx="193">
                  <c:v>2466475.6018399801</c:v>
                </c:pt>
                <c:pt idx="194">
                  <c:v>2487997.7597999801</c:v>
                </c:pt>
                <c:pt idx="195">
                  <c:v>2432495.88251998</c:v>
                </c:pt>
                <c:pt idx="196">
                  <c:v>2393166.68187998</c:v>
                </c:pt>
                <c:pt idx="197">
                  <c:v>2413472.8585999804</c:v>
                </c:pt>
                <c:pt idx="198">
                  <c:v>2343414.1721199797</c:v>
                </c:pt>
                <c:pt idx="199">
                  <c:v>2277416.0460199798</c:v>
                </c:pt>
                <c:pt idx="200">
                  <c:v>2245144.72425998</c:v>
                </c:pt>
                <c:pt idx="201">
                  <c:v>2280631.5267399801</c:v>
                </c:pt>
                <c:pt idx="202">
                  <c:v>2371821.93701998</c:v>
                </c:pt>
                <c:pt idx="203">
                  <c:v>2388323.3670799797</c:v>
                </c:pt>
                <c:pt idx="204">
                  <c:v>2425541.5366199799</c:v>
                </c:pt>
                <c:pt idx="205">
                  <c:v>2420535.1144599798</c:v>
                </c:pt>
                <c:pt idx="206">
                  <c:v>2419614.1738999798</c:v>
                </c:pt>
                <c:pt idx="207">
                  <c:v>2355965.3148999801</c:v>
                </c:pt>
                <c:pt idx="208">
                  <c:v>2335132.0514799799</c:v>
                </c:pt>
                <c:pt idx="209">
                  <c:v>2397719.77635998</c:v>
                </c:pt>
                <c:pt idx="210">
                  <c:v>2481160.4412599797</c:v>
                </c:pt>
                <c:pt idx="211">
                  <c:v>2473069.8924199799</c:v>
                </c:pt>
                <c:pt idx="212">
                  <c:v>2470080.6740199802</c:v>
                </c:pt>
                <c:pt idx="213">
                  <c:v>2417603.82209998</c:v>
                </c:pt>
                <c:pt idx="214">
                  <c:v>2334197.07607998</c:v>
                </c:pt>
                <c:pt idx="215">
                  <c:v>2338225.4822199801</c:v>
                </c:pt>
                <c:pt idx="216">
                  <c:v>2426780.9443599801</c:v>
                </c:pt>
                <c:pt idx="217">
                  <c:v>2622774.2780399797</c:v>
                </c:pt>
                <c:pt idx="218">
                  <c:v>2602537.2928999802</c:v>
                </c:pt>
                <c:pt idx="219">
                  <c:v>2705674.73397998</c:v>
                </c:pt>
                <c:pt idx="220">
                  <c:v>2746312.1197599797</c:v>
                </c:pt>
                <c:pt idx="221">
                  <c:v>2705628.9143399801</c:v>
                </c:pt>
                <c:pt idx="222">
                  <c:v>2695383.0104199802</c:v>
                </c:pt>
                <c:pt idx="223">
                  <c:v>2659832.0703199799</c:v>
                </c:pt>
                <c:pt idx="224">
                  <c:v>2671336.6983599802</c:v>
                </c:pt>
                <c:pt idx="225">
                  <c:v>2582404.9600599799</c:v>
                </c:pt>
                <c:pt idx="226">
                  <c:v>2590439.2707799799</c:v>
                </c:pt>
                <c:pt idx="227">
                  <c:v>2647158.47731998</c:v>
                </c:pt>
                <c:pt idx="228">
                  <c:v>2733126.9976999802</c:v>
                </c:pt>
                <c:pt idx="229">
                  <c:v>2726644.5486399801</c:v>
                </c:pt>
                <c:pt idx="230">
                  <c:v>2754329.4624799797</c:v>
                </c:pt>
                <c:pt idx="231">
                  <c:v>2740903.9835999804</c:v>
                </c:pt>
                <c:pt idx="232">
                  <c:v>2727977.3739399798</c:v>
                </c:pt>
                <c:pt idx="233">
                  <c:v>2763835.7991199801</c:v>
                </c:pt>
                <c:pt idx="234">
                  <c:v>2725257.8272799803</c:v>
                </c:pt>
                <c:pt idx="235">
                  <c:v>2723690.1135999798</c:v>
                </c:pt>
                <c:pt idx="236">
                  <c:v>2734230.76913998</c:v>
                </c:pt>
                <c:pt idx="237">
                  <c:v>2748805.3898199801</c:v>
                </c:pt>
                <c:pt idx="238">
                  <c:v>2764544.6361799799</c:v>
                </c:pt>
                <c:pt idx="239">
                  <c:v>2798994.0529799801</c:v>
                </c:pt>
                <c:pt idx="240">
                  <c:v>2856336.1607999802</c:v>
                </c:pt>
                <c:pt idx="241">
                  <c:v>2853109.7932199799</c:v>
                </c:pt>
                <c:pt idx="242">
                  <c:v>2850759.2793799797</c:v>
                </c:pt>
                <c:pt idx="243">
                  <c:v>2871029.1085199798</c:v>
                </c:pt>
                <c:pt idx="244">
                  <c:v>2856104.09019998</c:v>
                </c:pt>
                <c:pt idx="245">
                  <c:v>2810084.2165199802</c:v>
                </c:pt>
                <c:pt idx="246">
                  <c:v>2802184.7595599801</c:v>
                </c:pt>
                <c:pt idx="247">
                  <c:v>2807466.4522799803</c:v>
                </c:pt>
                <c:pt idx="248">
                  <c:v>2838509.6138799801</c:v>
                </c:pt>
                <c:pt idx="249">
                  <c:v>2784800.7441799799</c:v>
                </c:pt>
                <c:pt idx="250">
                  <c:v>2755300.3647999801</c:v>
                </c:pt>
                <c:pt idx="251">
                  <c:v>2708924.9732599799</c:v>
                </c:pt>
                <c:pt idx="252">
                  <c:v>2697720.3221399798</c:v>
                </c:pt>
                <c:pt idx="253">
                  <c:v>2656070.3723599799</c:v>
                </c:pt>
                <c:pt idx="254">
                  <c:v>2634241.9590599802</c:v>
                </c:pt>
                <c:pt idx="255">
                  <c:v>2730504.6858999799</c:v>
                </c:pt>
                <c:pt idx="256">
                  <c:v>2770804.4835399799</c:v>
                </c:pt>
                <c:pt idx="257">
                  <c:v>2781726.94813998</c:v>
                </c:pt>
                <c:pt idx="258">
                  <c:v>2785259.1121399803</c:v>
                </c:pt>
                <c:pt idx="259">
                  <c:v>2789622.2836799799</c:v>
                </c:pt>
                <c:pt idx="260">
                  <c:v>2823847.8039799798</c:v>
                </c:pt>
                <c:pt idx="261">
                  <c:v>2823819.5656999801</c:v>
                </c:pt>
                <c:pt idx="262">
                  <c:v>2864800.2720399802</c:v>
                </c:pt>
                <c:pt idx="263">
                  <c:v>2868565.1231599799</c:v>
                </c:pt>
                <c:pt idx="264">
                  <c:v>2862523.6608799798</c:v>
                </c:pt>
                <c:pt idx="265">
                  <c:v>2865842.75941998</c:v>
                </c:pt>
                <c:pt idx="266">
                  <c:v>2852883.9134599799</c:v>
                </c:pt>
                <c:pt idx="267">
                  <c:v>2852678.7006199798</c:v>
                </c:pt>
                <c:pt idx="268">
                  <c:v>2852793.4481199803</c:v>
                </c:pt>
                <c:pt idx="269">
                  <c:v>2924991.5952399801</c:v>
                </c:pt>
                <c:pt idx="270">
                  <c:v>2908445.3815399799</c:v>
                </c:pt>
                <c:pt idx="271">
                  <c:v>2897744.6936999802</c:v>
                </c:pt>
                <c:pt idx="272">
                  <c:v>2927688.6058199801</c:v>
                </c:pt>
                <c:pt idx="273">
                  <c:v>3001856.4209399801</c:v>
                </c:pt>
                <c:pt idx="274">
                  <c:v>3057181.9378399802</c:v>
                </c:pt>
                <c:pt idx="275">
                  <c:v>3171599.2583999801</c:v>
                </c:pt>
                <c:pt idx="276">
                  <c:v>3252070.0291999797</c:v>
                </c:pt>
                <c:pt idx="277">
                  <c:v>3317271.43193998</c:v>
                </c:pt>
                <c:pt idx="278">
                  <c:v>3314190.9580799798</c:v>
                </c:pt>
                <c:pt idx="279">
                  <c:v>3265993.76693998</c:v>
                </c:pt>
                <c:pt idx="280">
                  <c:v>3320759.1627599797</c:v>
                </c:pt>
                <c:pt idx="281">
                  <c:v>3278253.6977599799</c:v>
                </c:pt>
                <c:pt idx="282">
                  <c:v>3292604.0064399801</c:v>
                </c:pt>
                <c:pt idx="283">
                  <c:v>3245937.1627599797</c:v>
                </c:pt>
                <c:pt idx="284">
                  <c:v>3356869.8685999801</c:v>
                </c:pt>
                <c:pt idx="285">
                  <c:v>3382885.51387998</c:v>
                </c:pt>
                <c:pt idx="286">
                  <c:v>3365924.2746199802</c:v>
                </c:pt>
                <c:pt idx="287">
                  <c:v>3258030.2521799798</c:v>
                </c:pt>
                <c:pt idx="288">
                  <c:v>3225973.2513799802</c:v>
                </c:pt>
                <c:pt idx="289">
                  <c:v>3295958.9016399803</c:v>
                </c:pt>
                <c:pt idx="290">
                  <c:v>3373926.9588999799</c:v>
                </c:pt>
                <c:pt idx="291">
                  <c:v>3361994.5327399797</c:v>
                </c:pt>
                <c:pt idx="292">
                  <c:v>3404369.2400799803</c:v>
                </c:pt>
                <c:pt idx="293">
                  <c:v>3402314.02495998</c:v>
                </c:pt>
                <c:pt idx="294">
                  <c:v>3388354.3827599799</c:v>
                </c:pt>
                <c:pt idx="295">
                  <c:v>3410840.0932799801</c:v>
                </c:pt>
                <c:pt idx="296">
                  <c:v>3385898.1326199798</c:v>
                </c:pt>
                <c:pt idx="297">
                  <c:v>3365420.5728799799</c:v>
                </c:pt>
                <c:pt idx="298">
                  <c:v>3377496.6696999995</c:v>
                </c:pt>
                <c:pt idx="299">
                  <c:v>3354400.5546399797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E-4EBE-96BA-B016705F1B86}"/>
            </c:ext>
          </c:extLst>
        </c:ser>
        <c:ser>
          <c:idx val="1"/>
          <c:order val="1"/>
          <c:tx>
            <c:strRef>
              <c:f>主板!$Q$1</c:f>
              <c:strCache>
                <c:ptCount val="1"/>
                <c:pt idx="0">
                  <c:v>LTR-DQN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主板!$G$2:$G$301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主板!$Q$2:$Q$301</c:f>
              <c:numCache>
                <c:formatCode>General</c:formatCode>
                <c:ptCount val="300"/>
                <c:pt idx="0">
                  <c:v>1000000</c:v>
                </c:pt>
                <c:pt idx="1">
                  <c:v>1000000</c:v>
                </c:pt>
                <c:pt idx="2">
                  <c:v>1000592.5300449204</c:v>
                </c:pt>
                <c:pt idx="3">
                  <c:v>1000592.5300449204</c:v>
                </c:pt>
                <c:pt idx="4">
                  <c:v>977323.42525797582</c:v>
                </c:pt>
                <c:pt idx="5">
                  <c:v>947099.81967489398</c:v>
                </c:pt>
                <c:pt idx="6">
                  <c:v>1040744.558875418</c:v>
                </c:pt>
                <c:pt idx="7">
                  <c:v>1041430.0443168872</c:v>
                </c:pt>
                <c:pt idx="8">
                  <c:v>1026101.743587902</c:v>
                </c:pt>
                <c:pt idx="9">
                  <c:v>1007495.3911535764</c:v>
                </c:pt>
                <c:pt idx="10">
                  <c:v>1071979.4222698701</c:v>
                </c:pt>
                <c:pt idx="11">
                  <c:v>1071979.4222698701</c:v>
                </c:pt>
                <c:pt idx="12">
                  <c:v>1071979.4222698701</c:v>
                </c:pt>
                <c:pt idx="13">
                  <c:v>1071979.4222698701</c:v>
                </c:pt>
                <c:pt idx="14">
                  <c:v>1032660.1753104331</c:v>
                </c:pt>
                <c:pt idx="15">
                  <c:v>996453.4844325718</c:v>
                </c:pt>
                <c:pt idx="16">
                  <c:v>1093931.3269148807</c:v>
                </c:pt>
                <c:pt idx="17">
                  <c:v>1090365.5884204591</c:v>
                </c:pt>
                <c:pt idx="18">
                  <c:v>1090365.5884204591</c:v>
                </c:pt>
                <c:pt idx="19">
                  <c:v>1090365.5884204591</c:v>
                </c:pt>
                <c:pt idx="20">
                  <c:v>1090365.5884204591</c:v>
                </c:pt>
                <c:pt idx="21">
                  <c:v>1107802.4804392534</c:v>
                </c:pt>
                <c:pt idx="22">
                  <c:v>1097877.6441779325</c:v>
                </c:pt>
                <c:pt idx="23">
                  <c:v>1138114.7843120417</c:v>
                </c:pt>
                <c:pt idx="24">
                  <c:v>1138114.7843120417</c:v>
                </c:pt>
                <c:pt idx="25">
                  <c:v>1138114.7843120417</c:v>
                </c:pt>
                <c:pt idx="26">
                  <c:v>1134573.6089411664</c:v>
                </c:pt>
                <c:pt idx="27">
                  <c:v>1116227.6856505657</c:v>
                </c:pt>
                <c:pt idx="28">
                  <c:v>1225736.927960125</c:v>
                </c:pt>
                <c:pt idx="29">
                  <c:v>1181979.3307727631</c:v>
                </c:pt>
                <c:pt idx="30">
                  <c:v>1182487.4373903731</c:v>
                </c:pt>
                <c:pt idx="31">
                  <c:v>1182487.4373903731</c:v>
                </c:pt>
                <c:pt idx="32">
                  <c:v>1182487.4373903731</c:v>
                </c:pt>
                <c:pt idx="33">
                  <c:v>1218146.7424696786</c:v>
                </c:pt>
                <c:pt idx="34">
                  <c:v>1160531.8976229888</c:v>
                </c:pt>
                <c:pt idx="35">
                  <c:v>1160918.522049573</c:v>
                </c:pt>
                <c:pt idx="36">
                  <c:v>1160918.522049573</c:v>
                </c:pt>
                <c:pt idx="37">
                  <c:v>1147452.4597080466</c:v>
                </c:pt>
                <c:pt idx="38">
                  <c:v>1167069.7635574692</c:v>
                </c:pt>
                <c:pt idx="39">
                  <c:v>1189317.3282640602</c:v>
                </c:pt>
                <c:pt idx="40">
                  <c:v>1269498.5346217344</c:v>
                </c:pt>
                <c:pt idx="41">
                  <c:v>1269498.5346217344</c:v>
                </c:pt>
                <c:pt idx="42">
                  <c:v>1269498.5346217344</c:v>
                </c:pt>
                <c:pt idx="43">
                  <c:v>1269498.5346217344</c:v>
                </c:pt>
                <c:pt idx="44">
                  <c:v>1269498.5346217344</c:v>
                </c:pt>
                <c:pt idx="45">
                  <c:v>1269498.5346217344</c:v>
                </c:pt>
                <c:pt idx="46">
                  <c:v>1255195.778444028</c:v>
                </c:pt>
                <c:pt idx="47">
                  <c:v>1255195.778444028</c:v>
                </c:pt>
                <c:pt idx="48">
                  <c:v>1255195.778444028</c:v>
                </c:pt>
                <c:pt idx="49">
                  <c:v>1297440.8864149847</c:v>
                </c:pt>
                <c:pt idx="50">
                  <c:v>1328666.7529967872</c:v>
                </c:pt>
                <c:pt idx="51">
                  <c:v>1335965.1722571533</c:v>
                </c:pt>
                <c:pt idx="52">
                  <c:v>1335965.1722571533</c:v>
                </c:pt>
                <c:pt idx="53">
                  <c:v>1330465.5275783928</c:v>
                </c:pt>
                <c:pt idx="54">
                  <c:v>1383445.6441576341</c:v>
                </c:pt>
                <c:pt idx="55">
                  <c:v>1395715.1501628847</c:v>
                </c:pt>
                <c:pt idx="56">
                  <c:v>1373493.2181474175</c:v>
                </c:pt>
                <c:pt idx="57">
                  <c:v>1373493.2181474175</c:v>
                </c:pt>
                <c:pt idx="58">
                  <c:v>1373493.2181474175</c:v>
                </c:pt>
                <c:pt idx="59">
                  <c:v>1408401.7890483614</c:v>
                </c:pt>
                <c:pt idx="60">
                  <c:v>1416648.9928192885</c:v>
                </c:pt>
                <c:pt idx="61">
                  <c:v>1426508.0516024751</c:v>
                </c:pt>
                <c:pt idx="62">
                  <c:v>1428542.7686863365</c:v>
                </c:pt>
                <c:pt idx="63">
                  <c:v>1428542.7686863365</c:v>
                </c:pt>
                <c:pt idx="64">
                  <c:v>1393412.4180962529</c:v>
                </c:pt>
                <c:pt idx="65">
                  <c:v>1417742.6013518639</c:v>
                </c:pt>
                <c:pt idx="66">
                  <c:v>1458633.1062246382</c:v>
                </c:pt>
                <c:pt idx="67">
                  <c:v>1438253.0137208696</c:v>
                </c:pt>
                <c:pt idx="68">
                  <c:v>1438253.0137208696</c:v>
                </c:pt>
                <c:pt idx="69">
                  <c:v>1438253.0137208696</c:v>
                </c:pt>
                <c:pt idx="70">
                  <c:v>1473883.4262244718</c:v>
                </c:pt>
                <c:pt idx="71">
                  <c:v>1519640.339458619</c:v>
                </c:pt>
                <c:pt idx="72">
                  <c:v>1492247.3341005843</c:v>
                </c:pt>
                <c:pt idx="73">
                  <c:v>1492247.3341005843</c:v>
                </c:pt>
                <c:pt idx="74">
                  <c:v>1492247.3341005843</c:v>
                </c:pt>
                <c:pt idx="75">
                  <c:v>1540401.5688468881</c:v>
                </c:pt>
                <c:pt idx="76">
                  <c:v>1487885.4721394333</c:v>
                </c:pt>
                <c:pt idx="77">
                  <c:v>1531886.489201834</c:v>
                </c:pt>
                <c:pt idx="78">
                  <c:v>1547114.2550443786</c:v>
                </c:pt>
                <c:pt idx="79">
                  <c:v>1509295.0670322934</c:v>
                </c:pt>
                <c:pt idx="80">
                  <c:v>1497433.3137939028</c:v>
                </c:pt>
                <c:pt idx="81">
                  <c:v>1425509.5732053469</c:v>
                </c:pt>
                <c:pt idx="82">
                  <c:v>1441103.7751967681</c:v>
                </c:pt>
                <c:pt idx="83">
                  <c:v>1460940.005002328</c:v>
                </c:pt>
                <c:pt idx="84">
                  <c:v>1468829.4179946072</c:v>
                </c:pt>
                <c:pt idx="85">
                  <c:v>1429769.3450102627</c:v>
                </c:pt>
                <c:pt idx="86">
                  <c:v>1419326.5509185505</c:v>
                </c:pt>
                <c:pt idx="87">
                  <c:v>1416408.0612138098</c:v>
                </c:pt>
                <c:pt idx="88">
                  <c:v>1369962.1047313286</c:v>
                </c:pt>
                <c:pt idx="89">
                  <c:v>1447269.2921148278</c:v>
                </c:pt>
                <c:pt idx="90">
                  <c:v>1418516.6269688858</c:v>
                </c:pt>
                <c:pt idx="91">
                  <c:v>1418516.6269688858</c:v>
                </c:pt>
                <c:pt idx="92">
                  <c:v>1418516.6269688858</c:v>
                </c:pt>
                <c:pt idx="93">
                  <c:v>1487000.5438067995</c:v>
                </c:pt>
                <c:pt idx="94">
                  <c:v>1520560.7330044454</c:v>
                </c:pt>
                <c:pt idx="95">
                  <c:v>1623376.1933486816</c:v>
                </c:pt>
                <c:pt idx="96">
                  <c:v>1623376.1933486816</c:v>
                </c:pt>
                <c:pt idx="97">
                  <c:v>1613883.7604599823</c:v>
                </c:pt>
                <c:pt idx="98">
                  <c:v>1624002.7509472452</c:v>
                </c:pt>
                <c:pt idx="99">
                  <c:v>1632344.5916242634</c:v>
                </c:pt>
                <c:pt idx="100">
                  <c:v>1658671.6750100811</c:v>
                </c:pt>
                <c:pt idx="101">
                  <c:v>1664202.8800892332</c:v>
                </c:pt>
                <c:pt idx="102">
                  <c:v>1712048.9978506553</c:v>
                </c:pt>
                <c:pt idx="103">
                  <c:v>1690776.4815878789</c:v>
                </c:pt>
                <c:pt idx="104">
                  <c:v>1722889.6414966267</c:v>
                </c:pt>
                <c:pt idx="105">
                  <c:v>1717895.5044799817</c:v>
                </c:pt>
                <c:pt idx="106">
                  <c:v>1727762.0277250903</c:v>
                </c:pt>
                <c:pt idx="107">
                  <c:v>1712048.3262883234</c:v>
                </c:pt>
                <c:pt idx="108">
                  <c:v>1780310.891784091</c:v>
                </c:pt>
                <c:pt idx="109">
                  <c:v>1766828.201418103</c:v>
                </c:pt>
                <c:pt idx="110">
                  <c:v>1791530.4505129126</c:v>
                </c:pt>
                <c:pt idx="111">
                  <c:v>1810536.8754303278</c:v>
                </c:pt>
                <c:pt idx="112">
                  <c:v>1838103.8908986431</c:v>
                </c:pt>
                <c:pt idx="113">
                  <c:v>1857552.9965180005</c:v>
                </c:pt>
                <c:pt idx="114">
                  <c:v>1857552.9965180005</c:v>
                </c:pt>
                <c:pt idx="115">
                  <c:v>1896498.151226155</c:v>
                </c:pt>
                <c:pt idx="116">
                  <c:v>1950573.8291549156</c:v>
                </c:pt>
                <c:pt idx="117">
                  <c:v>1964319.0355164807</c:v>
                </c:pt>
                <c:pt idx="118">
                  <c:v>2020150.984241823</c:v>
                </c:pt>
                <c:pt idx="119">
                  <c:v>2020150.984241823</c:v>
                </c:pt>
                <c:pt idx="120">
                  <c:v>2020150.984241823</c:v>
                </c:pt>
                <c:pt idx="121">
                  <c:v>2013768.0041631856</c:v>
                </c:pt>
                <c:pt idx="122">
                  <c:v>2153197.3088336592</c:v>
                </c:pt>
                <c:pt idx="123">
                  <c:v>2152978.8194967392</c:v>
                </c:pt>
                <c:pt idx="124">
                  <c:v>2152978.8194967392</c:v>
                </c:pt>
                <c:pt idx="125">
                  <c:v>2152978.8194967392</c:v>
                </c:pt>
                <c:pt idx="126">
                  <c:v>2161133.1312053581</c:v>
                </c:pt>
                <c:pt idx="127">
                  <c:v>2123565.917651827</c:v>
                </c:pt>
                <c:pt idx="128">
                  <c:v>2188103.6949946475</c:v>
                </c:pt>
                <c:pt idx="129">
                  <c:v>2188103.6949946475</c:v>
                </c:pt>
                <c:pt idx="130">
                  <c:v>2188103.6949946475</c:v>
                </c:pt>
                <c:pt idx="131">
                  <c:v>2259052.1035674717</c:v>
                </c:pt>
                <c:pt idx="132">
                  <c:v>2129435.083454309</c:v>
                </c:pt>
                <c:pt idx="133">
                  <c:v>2101649.5229439558</c:v>
                </c:pt>
                <c:pt idx="134">
                  <c:v>2101649.5229439558</c:v>
                </c:pt>
                <c:pt idx="135">
                  <c:v>2101649.5229439558</c:v>
                </c:pt>
                <c:pt idx="136">
                  <c:v>2130823.9146533678</c:v>
                </c:pt>
                <c:pt idx="137">
                  <c:v>2319521.0442851898</c:v>
                </c:pt>
                <c:pt idx="138">
                  <c:v>2142402.2762201447</c:v>
                </c:pt>
                <c:pt idx="139">
                  <c:v>2142402.2762201447</c:v>
                </c:pt>
                <c:pt idx="140">
                  <c:v>2142402.2762201447</c:v>
                </c:pt>
                <c:pt idx="141">
                  <c:v>2166711.2327169166</c:v>
                </c:pt>
                <c:pt idx="142">
                  <c:v>2194989.3988878191</c:v>
                </c:pt>
                <c:pt idx="143">
                  <c:v>2189764.8110388</c:v>
                </c:pt>
                <c:pt idx="144">
                  <c:v>2317000.802263896</c:v>
                </c:pt>
                <c:pt idx="145">
                  <c:v>2395206.990996806</c:v>
                </c:pt>
                <c:pt idx="146">
                  <c:v>2537021.8580272212</c:v>
                </c:pt>
                <c:pt idx="147">
                  <c:v>2591619.4391653137</c:v>
                </c:pt>
                <c:pt idx="148">
                  <c:v>2759905.0583912162</c:v>
                </c:pt>
                <c:pt idx="149">
                  <c:v>2676849.6574203963</c:v>
                </c:pt>
                <c:pt idx="150">
                  <c:v>2583671.2021277421</c:v>
                </c:pt>
                <c:pt idx="151">
                  <c:v>2602004.8795743152</c:v>
                </c:pt>
                <c:pt idx="152">
                  <c:v>2660878.2693281882</c:v>
                </c:pt>
                <c:pt idx="153">
                  <c:v>2722140.6540997932</c:v>
                </c:pt>
                <c:pt idx="154">
                  <c:v>2797213.2808448728</c:v>
                </c:pt>
                <c:pt idx="155">
                  <c:v>3072506.8156395485</c:v>
                </c:pt>
                <c:pt idx="156">
                  <c:v>2999106.3745895056</c:v>
                </c:pt>
                <c:pt idx="157">
                  <c:v>2915486.5583838075</c:v>
                </c:pt>
                <c:pt idx="158">
                  <c:v>2946223.3364002774</c:v>
                </c:pt>
                <c:pt idx="159">
                  <c:v>2956555.5416731536</c:v>
                </c:pt>
                <c:pt idx="160">
                  <c:v>3013200.6495914613</c:v>
                </c:pt>
                <c:pt idx="161">
                  <c:v>2987108.8597081355</c:v>
                </c:pt>
                <c:pt idx="162">
                  <c:v>3009860.8888934115</c:v>
                </c:pt>
                <c:pt idx="163">
                  <c:v>3041261.3497087448</c:v>
                </c:pt>
                <c:pt idx="164">
                  <c:v>2967725.0427289628</c:v>
                </c:pt>
                <c:pt idx="165">
                  <c:v>2987628.2923913812</c:v>
                </c:pt>
                <c:pt idx="166">
                  <c:v>2978800.787076632</c:v>
                </c:pt>
                <c:pt idx="167">
                  <c:v>2928125.3199352114</c:v>
                </c:pt>
                <c:pt idx="168">
                  <c:v>2854818.9413129613</c:v>
                </c:pt>
                <c:pt idx="169">
                  <c:v>2854818.9413129613</c:v>
                </c:pt>
                <c:pt idx="170">
                  <c:v>2899782.1006974787</c:v>
                </c:pt>
                <c:pt idx="171">
                  <c:v>2911803.7822207133</c:v>
                </c:pt>
                <c:pt idx="172">
                  <c:v>2963930.4457305395</c:v>
                </c:pt>
                <c:pt idx="173">
                  <c:v>3040986.4809811348</c:v>
                </c:pt>
                <c:pt idx="174">
                  <c:v>2991860.4658677904</c:v>
                </c:pt>
                <c:pt idx="175">
                  <c:v>2991860.4658677904</c:v>
                </c:pt>
                <c:pt idx="176">
                  <c:v>3077371.5412318138</c:v>
                </c:pt>
                <c:pt idx="177">
                  <c:v>3015542.1799357845</c:v>
                </c:pt>
                <c:pt idx="178">
                  <c:v>2920841.3674066723</c:v>
                </c:pt>
                <c:pt idx="179">
                  <c:v>2945685.7298550513</c:v>
                </c:pt>
                <c:pt idx="180">
                  <c:v>2958708.5422288296</c:v>
                </c:pt>
                <c:pt idx="181">
                  <c:v>2991491.2190988595</c:v>
                </c:pt>
                <c:pt idx="182">
                  <c:v>3026279.7888580007</c:v>
                </c:pt>
                <c:pt idx="183">
                  <c:v>3086318.1451045317</c:v>
                </c:pt>
                <c:pt idx="184">
                  <c:v>3390423.8577335263</c:v>
                </c:pt>
                <c:pt idx="185">
                  <c:v>3339782.5857976694</c:v>
                </c:pt>
                <c:pt idx="186">
                  <c:v>3364380.0519939391</c:v>
                </c:pt>
                <c:pt idx="187">
                  <c:v>3408067.2941850042</c:v>
                </c:pt>
                <c:pt idx="188">
                  <c:v>3334272.577614361</c:v>
                </c:pt>
                <c:pt idx="189">
                  <c:v>3346821.4003019105</c:v>
                </c:pt>
                <c:pt idx="190">
                  <c:v>3274576.4631708455</c:v>
                </c:pt>
                <c:pt idx="191">
                  <c:v>3357914.9669475388</c:v>
                </c:pt>
                <c:pt idx="192">
                  <c:v>3371071.9775403752</c:v>
                </c:pt>
                <c:pt idx="193">
                  <c:v>3321478.1351860911</c:v>
                </c:pt>
                <c:pt idx="194">
                  <c:v>3350415.0128879556</c:v>
                </c:pt>
                <c:pt idx="195">
                  <c:v>3350415.0128879556</c:v>
                </c:pt>
                <c:pt idx="196">
                  <c:v>3350415.0128879556</c:v>
                </c:pt>
                <c:pt idx="197">
                  <c:v>3369016.9380376269</c:v>
                </c:pt>
                <c:pt idx="198">
                  <c:v>3208265.0165090072</c:v>
                </c:pt>
                <c:pt idx="199">
                  <c:v>3117771.1795449965</c:v>
                </c:pt>
                <c:pt idx="200">
                  <c:v>3117771.1795449965</c:v>
                </c:pt>
                <c:pt idx="201">
                  <c:v>2866142.0891023148</c:v>
                </c:pt>
                <c:pt idx="202">
                  <c:v>2866142.0891023148</c:v>
                </c:pt>
                <c:pt idx="203">
                  <c:v>2866142.0891023148</c:v>
                </c:pt>
                <c:pt idx="204">
                  <c:v>2889549.0712090312</c:v>
                </c:pt>
                <c:pt idx="205">
                  <c:v>2926353.1302307197</c:v>
                </c:pt>
                <c:pt idx="206">
                  <c:v>2920083.2834045989</c:v>
                </c:pt>
                <c:pt idx="207">
                  <c:v>2920083.2834045989</c:v>
                </c:pt>
                <c:pt idx="208">
                  <c:v>2920083.2834045989</c:v>
                </c:pt>
                <c:pt idx="209">
                  <c:v>2933507.3820711924</c:v>
                </c:pt>
                <c:pt idx="210">
                  <c:v>3026340.4595215856</c:v>
                </c:pt>
                <c:pt idx="211">
                  <c:v>3131695.1929673115</c:v>
                </c:pt>
                <c:pt idx="212">
                  <c:v>3050778.427534176</c:v>
                </c:pt>
                <c:pt idx="213">
                  <c:v>3066697.6486800411</c:v>
                </c:pt>
                <c:pt idx="214">
                  <c:v>2998572.3319378644</c:v>
                </c:pt>
                <c:pt idx="215">
                  <c:v>2895122.5687372121</c:v>
                </c:pt>
                <c:pt idx="216">
                  <c:v>2900093.614937264</c:v>
                </c:pt>
                <c:pt idx="217">
                  <c:v>3010044.6286148462</c:v>
                </c:pt>
                <c:pt idx="218">
                  <c:v>3235752.8684782498</c:v>
                </c:pt>
                <c:pt idx="219">
                  <c:v>3235752.8684782498</c:v>
                </c:pt>
                <c:pt idx="220">
                  <c:v>3235752.8684782498</c:v>
                </c:pt>
                <c:pt idx="221">
                  <c:v>3254898.1349789863</c:v>
                </c:pt>
                <c:pt idx="222">
                  <c:v>3206655.8527135393</c:v>
                </c:pt>
                <c:pt idx="223">
                  <c:v>3194509.4748148602</c:v>
                </c:pt>
                <c:pt idx="224">
                  <c:v>3189872.0355687216</c:v>
                </c:pt>
                <c:pt idx="225">
                  <c:v>3189872.0355687216</c:v>
                </c:pt>
                <c:pt idx="226">
                  <c:v>3096343.8926342856</c:v>
                </c:pt>
                <c:pt idx="227">
                  <c:v>3105981.2348828949</c:v>
                </c:pt>
                <c:pt idx="228">
                  <c:v>3174012.3825031156</c:v>
                </c:pt>
                <c:pt idx="229">
                  <c:v>3328604.8476568754</c:v>
                </c:pt>
                <c:pt idx="230">
                  <c:v>3328604.8476568754</c:v>
                </c:pt>
                <c:pt idx="231">
                  <c:v>3411762.5934604905</c:v>
                </c:pt>
                <c:pt idx="232">
                  <c:v>3282755.6623707647</c:v>
                </c:pt>
                <c:pt idx="233">
                  <c:v>3258579.8025355684</c:v>
                </c:pt>
                <c:pt idx="234">
                  <c:v>3253366.075381822</c:v>
                </c:pt>
                <c:pt idx="235">
                  <c:v>3212170.233762457</c:v>
                </c:pt>
                <c:pt idx="236">
                  <c:v>3215188.5068234946</c:v>
                </c:pt>
                <c:pt idx="237">
                  <c:v>3227610.8352184724</c:v>
                </c:pt>
                <c:pt idx="238">
                  <c:v>3244821.41730033</c:v>
                </c:pt>
                <c:pt idx="239">
                  <c:v>3310773.5506120808</c:v>
                </c:pt>
                <c:pt idx="240">
                  <c:v>3333261.7703134432</c:v>
                </c:pt>
                <c:pt idx="241">
                  <c:v>3516986.2773548216</c:v>
                </c:pt>
                <c:pt idx="242">
                  <c:v>3491898.2148906556</c:v>
                </c:pt>
                <c:pt idx="243">
                  <c:v>3465415.5325913411</c:v>
                </c:pt>
                <c:pt idx="244">
                  <c:v>3476496.4818060105</c:v>
                </c:pt>
                <c:pt idx="245">
                  <c:v>3436660.6849312219</c:v>
                </c:pt>
                <c:pt idx="246">
                  <c:v>3307701.903677193</c:v>
                </c:pt>
                <c:pt idx="247">
                  <c:v>3307701.903677193</c:v>
                </c:pt>
                <c:pt idx="248">
                  <c:v>3328086.9974820511</c:v>
                </c:pt>
                <c:pt idx="249">
                  <c:v>3331268.2474686308</c:v>
                </c:pt>
                <c:pt idx="250">
                  <c:v>3288308.7841762388</c:v>
                </c:pt>
                <c:pt idx="251">
                  <c:v>3252987.1784915738</c:v>
                </c:pt>
                <c:pt idx="252">
                  <c:v>3183983.0029037381</c:v>
                </c:pt>
                <c:pt idx="253">
                  <c:v>3181500.4127008449</c:v>
                </c:pt>
                <c:pt idx="254">
                  <c:v>3019258.6319806664</c:v>
                </c:pt>
                <c:pt idx="255">
                  <c:v>3019258.6319806664</c:v>
                </c:pt>
                <c:pt idx="256">
                  <c:v>3102291.8446481791</c:v>
                </c:pt>
                <c:pt idx="257">
                  <c:v>3152297.6780022671</c:v>
                </c:pt>
                <c:pt idx="258">
                  <c:v>3183980.7414149842</c:v>
                </c:pt>
                <c:pt idx="259">
                  <c:v>3190172.0050200582</c:v>
                </c:pt>
                <c:pt idx="260">
                  <c:v>3189360.5671463842</c:v>
                </c:pt>
                <c:pt idx="261">
                  <c:v>3228512.6033574473</c:v>
                </c:pt>
                <c:pt idx="262">
                  <c:v>3228476.0600839811</c:v>
                </c:pt>
                <c:pt idx="263">
                  <c:v>3287369.0178293991</c:v>
                </c:pt>
                <c:pt idx="264">
                  <c:v>3301240.6178636169</c:v>
                </c:pt>
                <c:pt idx="265">
                  <c:v>3373219.1918698335</c:v>
                </c:pt>
                <c:pt idx="266">
                  <c:v>3316097.7528527724</c:v>
                </c:pt>
                <c:pt idx="267">
                  <c:v>3301097.1896456941</c:v>
                </c:pt>
                <c:pt idx="268">
                  <c:v>3300827.1108293948</c:v>
                </c:pt>
                <c:pt idx="269">
                  <c:v>3306396.907098603</c:v>
                </c:pt>
                <c:pt idx="270">
                  <c:v>3446076.843039827</c:v>
                </c:pt>
                <c:pt idx="271">
                  <c:v>3436709.1486097788</c:v>
                </c:pt>
                <c:pt idx="272">
                  <c:v>3475943.1123585654</c:v>
                </c:pt>
                <c:pt idx="273">
                  <c:v>3513048.5713114068</c:v>
                </c:pt>
                <c:pt idx="274">
                  <c:v>3716668.8044884512</c:v>
                </c:pt>
                <c:pt idx="275">
                  <c:v>3807361.2516554827</c:v>
                </c:pt>
                <c:pt idx="276">
                  <c:v>3991889.5779568711</c:v>
                </c:pt>
                <c:pt idx="277">
                  <c:v>4195328.7727877945</c:v>
                </c:pt>
                <c:pt idx="278">
                  <c:v>4409320.2553704428</c:v>
                </c:pt>
                <c:pt idx="279">
                  <c:v>4334179.0041517131</c:v>
                </c:pt>
                <c:pt idx="280">
                  <c:v>4252037.9584276555</c:v>
                </c:pt>
                <c:pt idx="281">
                  <c:v>4374145.6430212557</c:v>
                </c:pt>
                <c:pt idx="282">
                  <c:v>4311989.596060426</c:v>
                </c:pt>
                <c:pt idx="283">
                  <c:v>4319659.895135399</c:v>
                </c:pt>
                <c:pt idx="284">
                  <c:v>4258415.8503286708</c:v>
                </c:pt>
                <c:pt idx="285">
                  <c:v>4404016.3748930674</c:v>
                </c:pt>
                <c:pt idx="286">
                  <c:v>4438158.555942215</c:v>
                </c:pt>
                <c:pt idx="287">
                  <c:v>4387009.4477337087</c:v>
                </c:pt>
                <c:pt idx="288">
                  <c:v>4242718.986285382</c:v>
                </c:pt>
                <c:pt idx="289">
                  <c:v>4218746.8599303514</c:v>
                </c:pt>
                <c:pt idx="290">
                  <c:v>4310311.3580871364</c:v>
                </c:pt>
                <c:pt idx="291">
                  <c:v>4412322.5471114963</c:v>
                </c:pt>
                <c:pt idx="292">
                  <c:v>4409000.3942916449</c:v>
                </c:pt>
                <c:pt idx="293">
                  <c:v>4401945.9951516455</c:v>
                </c:pt>
                <c:pt idx="294">
                  <c:v>4414615.6735489843</c:v>
                </c:pt>
                <c:pt idx="295">
                  <c:v>4432663.7287871679</c:v>
                </c:pt>
                <c:pt idx="296">
                  <c:v>4492271.1510981135</c:v>
                </c:pt>
                <c:pt idx="297">
                  <c:v>4459387.6646215199</c:v>
                </c:pt>
                <c:pt idx="298">
                  <c:v>4432310.479077559</c:v>
                </c:pt>
                <c:pt idx="299">
                  <c:v>4458068.8612443581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E-4EBE-96BA-B016705F1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684047"/>
        <c:axId val="421696047"/>
      </c:lineChart>
      <c:catAx>
        <c:axId val="4216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696047"/>
        <c:crosses val="autoZero"/>
        <c:auto val="1"/>
        <c:lblAlgn val="ctr"/>
        <c:lblOffset val="100"/>
        <c:noMultiLvlLbl val="0"/>
      </c:catAx>
      <c:valAx>
        <c:axId val="4216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6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主板!$R$1</c:f>
              <c:strCache>
                <c:ptCount val="1"/>
                <c:pt idx="0">
                  <c:v>number of stocks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主板!$G$2:$G$301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主板!$R$2:$R$301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4</c:v>
                </c:pt>
                <c:pt idx="98">
                  <c:v>4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1</c:v>
                </c:pt>
                <c:pt idx="112">
                  <c:v>4</c:v>
                </c:pt>
                <c:pt idx="113">
                  <c:v>4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4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4</c:v>
                </c:pt>
                <c:pt idx="146">
                  <c:v>4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4</c:v>
                </c:pt>
                <c:pt idx="171">
                  <c:v>4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0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1</c:v>
                </c:pt>
                <c:pt idx="184">
                  <c:v>1</c:v>
                </c:pt>
                <c:pt idx="185">
                  <c:v>4</c:v>
                </c:pt>
                <c:pt idx="186">
                  <c:v>1</c:v>
                </c:pt>
                <c:pt idx="187">
                  <c:v>4</c:v>
                </c:pt>
                <c:pt idx="188">
                  <c:v>4</c:v>
                </c:pt>
                <c:pt idx="189">
                  <c:v>1</c:v>
                </c:pt>
                <c:pt idx="190">
                  <c:v>2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2</c:v>
                </c:pt>
                <c:pt idx="199">
                  <c:v>4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2</c:v>
                </c:pt>
                <c:pt idx="206">
                  <c:v>4</c:v>
                </c:pt>
                <c:pt idx="207">
                  <c:v>0</c:v>
                </c:pt>
                <c:pt idx="208">
                  <c:v>0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4</c:v>
                </c:pt>
                <c:pt idx="223">
                  <c:v>4</c:v>
                </c:pt>
                <c:pt idx="224">
                  <c:v>2</c:v>
                </c:pt>
                <c:pt idx="225">
                  <c:v>0</c:v>
                </c:pt>
                <c:pt idx="226">
                  <c:v>3</c:v>
                </c:pt>
                <c:pt idx="227">
                  <c:v>4</c:v>
                </c:pt>
                <c:pt idx="228">
                  <c:v>4</c:v>
                </c:pt>
                <c:pt idx="229">
                  <c:v>3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0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2</c:v>
                </c:pt>
                <c:pt idx="257">
                  <c:v>2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1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4</c:v>
                </c:pt>
                <c:pt idx="268">
                  <c:v>4</c:v>
                </c:pt>
                <c:pt idx="269">
                  <c:v>3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4</c:v>
                </c:pt>
                <c:pt idx="298">
                  <c:v>4</c:v>
                </c:pt>
                <c:pt idx="2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1-4BF5-9276-D9D519D0D1A1}"/>
            </c:ext>
          </c:extLst>
        </c:ser>
        <c:ser>
          <c:idx val="1"/>
          <c:order val="1"/>
          <c:tx>
            <c:strRef>
              <c:f>主板!$S$1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主板!$G$2:$G$301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主板!$S$2:$S$301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1-4BF5-9276-D9D519D0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448463"/>
        <c:axId val="896433103"/>
      </c:barChart>
      <c:catAx>
        <c:axId val="89644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433103"/>
        <c:crosses val="autoZero"/>
        <c:auto val="1"/>
        <c:lblAlgn val="ctr"/>
        <c:lblOffset val="100"/>
        <c:noMultiLvlLbl val="0"/>
      </c:catAx>
      <c:valAx>
        <c:axId val="8964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4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723253629993489E-2"/>
          <c:y val="0.10670941581404123"/>
          <c:w val="0.91830130752004624"/>
          <c:h val="0.71311151974266684"/>
        </c:manualLayout>
      </c:layout>
      <c:lineChart>
        <c:grouping val="standard"/>
        <c:varyColors val="0"/>
        <c:ser>
          <c:idx val="0"/>
          <c:order val="0"/>
          <c:tx>
            <c:strRef>
              <c:f>创业板!$C$1</c:f>
              <c:strCache>
                <c:ptCount val="1"/>
                <c:pt idx="0">
                  <c:v>ChiNext Index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创业板!$C$2:$C$302</c:f>
              <c:numCache>
                <c:formatCode>General</c:formatCode>
                <c:ptCount val="301"/>
                <c:pt idx="0">
                  <c:v>1000000</c:v>
                </c:pt>
                <c:pt idx="1">
                  <c:v>1016582.9999999998</c:v>
                </c:pt>
                <c:pt idx="2">
                  <c:v>1026841.3390529997</c:v>
                </c:pt>
                <c:pt idx="3">
                  <c:v>1029044.9405666075</c:v>
                </c:pt>
                <c:pt idx="4">
                  <c:v>1037982.1958754284</c:v>
                </c:pt>
                <c:pt idx="5">
                  <c:v>1037400.9258457382</c:v>
                </c:pt>
                <c:pt idx="6">
                  <c:v>1028390.0614038421</c:v>
                </c:pt>
                <c:pt idx="7">
                  <c:v>1035999.1194681693</c:v>
                </c:pt>
                <c:pt idx="8">
                  <c:v>1019328.8576368069</c:v>
                </c:pt>
                <c:pt idx="9">
                  <c:v>989117.98895416723</c:v>
                </c:pt>
                <c:pt idx="10">
                  <c:v>994391.96607127099</c:v>
                </c:pt>
                <c:pt idx="11">
                  <c:v>999798.47519080038</c:v>
                </c:pt>
                <c:pt idx="12">
                  <c:v>1001267.1791508555</c:v>
                </c:pt>
                <c:pt idx="13">
                  <c:v>978518.38884054811</c:v>
                </c:pt>
                <c:pt idx="14">
                  <c:v>977525.19267587492</c:v>
                </c:pt>
                <c:pt idx="15">
                  <c:v>987821.46553032997</c:v>
                </c:pt>
                <c:pt idx="16">
                  <c:v>973957.39126161183</c:v>
                </c:pt>
                <c:pt idx="17">
                  <c:v>986079.26495325379</c:v>
                </c:pt>
                <c:pt idx="18">
                  <c:v>986027.00275221129</c:v>
                </c:pt>
                <c:pt idx="19">
                  <c:v>964492.17301210319</c:v>
                </c:pt>
                <c:pt idx="20">
                  <c:v>938169.25262625678</c:v>
                </c:pt>
                <c:pt idx="21">
                  <c:v>928056.72625219845</c:v>
                </c:pt>
                <c:pt idx="22">
                  <c:v>918961.77033492678</c:v>
                </c:pt>
                <c:pt idx="23">
                  <c:v>918593.26666502259</c:v>
                </c:pt>
                <c:pt idx="24">
                  <c:v>906847.21456417697</c:v>
                </c:pt>
                <c:pt idx="25">
                  <c:v>930729.03595972457</c:v>
                </c:pt>
                <c:pt idx="26">
                  <c:v>914826.59965131676</c:v>
                </c:pt>
                <c:pt idx="27">
                  <c:v>925573.06771742064</c:v>
                </c:pt>
                <c:pt idx="28">
                  <c:v>940690.45263244933</c:v>
                </c:pt>
                <c:pt idx="29">
                  <c:v>932939.16330275801</c:v>
                </c:pt>
                <c:pt idx="30">
                  <c:v>912642.1388659433</c:v>
                </c:pt>
                <c:pt idx="31">
                  <c:v>909666.01285110135</c:v>
                </c:pt>
                <c:pt idx="32">
                  <c:v>900361.03920564742</c:v>
                </c:pt>
                <c:pt idx="33">
                  <c:v>906800.42135804635</c:v>
                </c:pt>
                <c:pt idx="34">
                  <c:v>882612.4269187419</c:v>
                </c:pt>
                <c:pt idx="35">
                  <c:v>891337.93337126053</c:v>
                </c:pt>
                <c:pt idx="36">
                  <c:v>862353.40645389387</c:v>
                </c:pt>
                <c:pt idx="37">
                  <c:v>862987.23620763759</c:v>
                </c:pt>
                <c:pt idx="38">
                  <c:v>865619.34727807087</c:v>
                </c:pt>
                <c:pt idx="39">
                  <c:v>844428.98565670359</c:v>
                </c:pt>
                <c:pt idx="40">
                  <c:v>855425.98433691077</c:v>
                </c:pt>
                <c:pt idx="41">
                  <c:v>838479.14016121218</c:v>
                </c:pt>
                <c:pt idx="42">
                  <c:v>814694.00239225908</c:v>
                </c:pt>
                <c:pt idx="43">
                  <c:v>810417.67357370211</c:v>
                </c:pt>
                <c:pt idx="44">
                  <c:v>835450.66509272018</c:v>
                </c:pt>
                <c:pt idx="45">
                  <c:v>836016.26519298786</c:v>
                </c:pt>
                <c:pt idx="46">
                  <c:v>842359.1205970071</c:v>
                </c:pt>
                <c:pt idx="47">
                  <c:v>838485.95336050214</c:v>
                </c:pt>
                <c:pt idx="48">
                  <c:v>831882.87647778809</c:v>
                </c:pt>
                <c:pt idx="49">
                  <c:v>820394.57395362994</c:v>
                </c:pt>
                <c:pt idx="50">
                  <c:v>843504.26870732976</c:v>
                </c:pt>
                <c:pt idx="51">
                  <c:v>825704.6416290676</c:v>
                </c:pt>
                <c:pt idx="52">
                  <c:v>847018.55554343876</c:v>
                </c:pt>
                <c:pt idx="53">
                  <c:v>854569.72596610838</c:v>
                </c:pt>
                <c:pt idx="54">
                  <c:v>855884.90877437033</c:v>
                </c:pt>
                <c:pt idx="55">
                  <c:v>840700.65460780414</c:v>
                </c:pt>
                <c:pt idx="56">
                  <c:v>828027.09223959153</c:v>
                </c:pt>
                <c:pt idx="57">
                  <c:v>815168.65952420293</c:v>
                </c:pt>
                <c:pt idx="58">
                  <c:v>780081.35491230269</c:v>
                </c:pt>
                <c:pt idx="59">
                  <c:v>766015.70800187881</c:v>
                </c:pt>
                <c:pt idx="60">
                  <c:v>761179.08482155506</c:v>
                </c:pt>
                <c:pt idx="61">
                  <c:v>781473.64158106735</c:v>
                </c:pt>
                <c:pt idx="62">
                  <c:v>790437.14425000222</c:v>
                </c:pt>
                <c:pt idx="63">
                  <c:v>762247.78437461436</c:v>
                </c:pt>
                <c:pt idx="64">
                  <c:v>742763.20651043043</c:v>
                </c:pt>
                <c:pt idx="65">
                  <c:v>781389.86430179887</c:v>
                </c:pt>
                <c:pt idx="66">
                  <c:v>803807.93950861751</c:v>
                </c:pt>
                <c:pt idx="67">
                  <c:v>804704.98916910915</c:v>
                </c:pt>
                <c:pt idx="68">
                  <c:v>808364.78745985031</c:v>
                </c:pt>
                <c:pt idx="69">
                  <c:v>797100.22414659732</c:v>
                </c:pt>
                <c:pt idx="70">
                  <c:v>805307.16805441061</c:v>
                </c:pt>
                <c:pt idx="71">
                  <c:v>802406.45163507864</c:v>
                </c:pt>
                <c:pt idx="72">
                  <c:v>782151.30557645438</c:v>
                </c:pt>
                <c:pt idx="73">
                  <c:v>769147.25796994031</c:v>
                </c:pt>
                <c:pt idx="74">
                  <c:v>768701.15256031777</c:v>
                </c:pt>
                <c:pt idx="75">
                  <c:v>799571.42214598763</c:v>
                </c:pt>
                <c:pt idx="76">
                  <c:v>788490.16180646629</c:v>
                </c:pt>
                <c:pt idx="77">
                  <c:v>790693.99180871551</c:v>
                </c:pt>
                <c:pt idx="78">
                  <c:v>780879.89798238571</c:v>
                </c:pt>
                <c:pt idx="79">
                  <c:v>764449.40404893819</c:v>
                </c:pt>
                <c:pt idx="80">
                  <c:v>761880.85405133374</c:v>
                </c:pt>
                <c:pt idx="81">
                  <c:v>729890.23887057242</c:v>
                </c:pt>
                <c:pt idx="82">
                  <c:v>748155.01220806956</c:v>
                </c:pt>
                <c:pt idx="83">
                  <c:v>731288.60561285086</c:v>
                </c:pt>
                <c:pt idx="84">
                  <c:v>731114.55892471503</c:v>
                </c:pt>
                <c:pt idx="85">
                  <c:v>729344.53057755821</c:v>
                </c:pt>
                <c:pt idx="86">
                  <c:v>737458.48848023359</c:v>
                </c:pt>
                <c:pt idx="87">
                  <c:v>727299.9978014183</c:v>
                </c:pt>
                <c:pt idx="88">
                  <c:v>700641.54368200514</c:v>
                </c:pt>
                <c:pt idx="89">
                  <c:v>685454.43758115405</c:v>
                </c:pt>
                <c:pt idx="90">
                  <c:v>680741.93832278368</c:v>
                </c:pt>
                <c:pt idx="91">
                  <c:v>642911.06658437161</c:v>
                </c:pt>
                <c:pt idx="92">
                  <c:v>637419.96316467435</c:v>
                </c:pt>
                <c:pt idx="93">
                  <c:v>672580.68575280102</c:v>
                </c:pt>
                <c:pt idx="94">
                  <c:v>660264.38823529577</c:v>
                </c:pt>
                <c:pt idx="95">
                  <c:v>687368.90163674287</c:v>
                </c:pt>
                <c:pt idx="96">
                  <c:v>678248.89104982652</c:v>
                </c:pt>
                <c:pt idx="97">
                  <c:v>665364.87511544407</c:v>
                </c:pt>
                <c:pt idx="98">
                  <c:v>660346.69322732347</c:v>
                </c:pt>
                <c:pt idx="99">
                  <c:v>674642.53878900164</c:v>
                </c:pt>
                <c:pt idx="100">
                  <c:v>695320.33260288462</c:v>
                </c:pt>
                <c:pt idx="101">
                  <c:v>696826.39644330251</c:v>
                </c:pt>
                <c:pt idx="102">
                  <c:v>698856.94856253825</c:v>
                </c:pt>
                <c:pt idx="103">
                  <c:v>690864.82049877709</c:v>
                </c:pt>
                <c:pt idx="104">
                  <c:v>702073.41134654917</c:v>
                </c:pt>
                <c:pt idx="105">
                  <c:v>700962.02913638763</c:v>
                </c:pt>
                <c:pt idx="106">
                  <c:v>704432.49214264192</c:v>
                </c:pt>
                <c:pt idx="107">
                  <c:v>716340.21898982115</c:v>
                </c:pt>
                <c:pt idx="108">
                  <c:v>714186.90029153775</c:v>
                </c:pt>
                <c:pt idx="109">
                  <c:v>686899.24720519886</c:v>
                </c:pt>
                <c:pt idx="110">
                  <c:v>689117.24487442442</c:v>
                </c:pt>
                <c:pt idx="111">
                  <c:v>687783.80300559243</c:v>
                </c:pt>
                <c:pt idx="112">
                  <c:v>688172.40085429058</c:v>
                </c:pt>
                <c:pt idx="113">
                  <c:v>696429.09331974038</c:v>
                </c:pt>
                <c:pt idx="114">
                  <c:v>712625.9447430775</c:v>
                </c:pt>
                <c:pt idx="115">
                  <c:v>719688.06785548141</c:v>
                </c:pt>
                <c:pt idx="116">
                  <c:v>728357.4303208685</c:v>
                </c:pt>
                <c:pt idx="117">
                  <c:v>756909.0415894466</c:v>
                </c:pt>
                <c:pt idx="118">
                  <c:v>756887.09122724051</c:v>
                </c:pt>
                <c:pt idx="119">
                  <c:v>763307.00753503002</c:v>
                </c:pt>
                <c:pt idx="120">
                  <c:v>740739.07255024929</c:v>
                </c:pt>
                <c:pt idx="121">
                  <c:v>757397.55355283187</c:v>
                </c:pt>
                <c:pt idx="122">
                  <c:v>754427.04034779768</c:v>
                </c:pt>
                <c:pt idx="123">
                  <c:v>754955.89370308153</c:v>
                </c:pt>
                <c:pt idx="124">
                  <c:v>762875.38102802692</c:v>
                </c:pt>
                <c:pt idx="125">
                  <c:v>765939.85143361636</c:v>
                </c:pt>
                <c:pt idx="126">
                  <c:v>787180.89539357345</c:v>
                </c:pt>
                <c:pt idx="127">
                  <c:v>802848.15675459174</c:v>
                </c:pt>
                <c:pt idx="128">
                  <c:v>797753.28235182702</c:v>
                </c:pt>
                <c:pt idx="129">
                  <c:v>793089.61666319834</c:v>
                </c:pt>
                <c:pt idx="130">
                  <c:v>817609.5683415744</c:v>
                </c:pt>
                <c:pt idx="131">
                  <c:v>836654.96562652302</c:v>
                </c:pt>
                <c:pt idx="132">
                  <c:v>838465.48697213875</c:v>
                </c:pt>
                <c:pt idx="133">
                  <c:v>841361.5467641406</c:v>
                </c:pt>
                <c:pt idx="134">
                  <c:v>820077.62371564819</c:v>
                </c:pt>
                <c:pt idx="135">
                  <c:v>832502.61979256407</c:v>
                </c:pt>
                <c:pt idx="136">
                  <c:v>824001.10303924233</c:v>
                </c:pt>
                <c:pt idx="137">
                  <c:v>839610.97993521765</c:v>
                </c:pt>
                <c:pt idx="138">
                  <c:v>836766.37793519709</c:v>
                </c:pt>
                <c:pt idx="139">
                  <c:v>830114.08523061243</c:v>
                </c:pt>
                <c:pt idx="140">
                  <c:v>844018.49615822511</c:v>
                </c:pt>
                <c:pt idx="141">
                  <c:v>834507.25172501802</c:v>
                </c:pt>
                <c:pt idx="142">
                  <c:v>819632.15996301966</c:v>
                </c:pt>
                <c:pt idx="143">
                  <c:v>800437.19440884562</c:v>
                </c:pt>
                <c:pt idx="144">
                  <c:v>813505.13204476447</c:v>
                </c:pt>
                <c:pt idx="145">
                  <c:v>834895.4359867496</c:v>
                </c:pt>
                <c:pt idx="146">
                  <c:v>817518.75727755739</c:v>
                </c:pt>
                <c:pt idx="147">
                  <c:v>829309.83031377161</c:v>
                </c:pt>
                <c:pt idx="148">
                  <c:v>814640.16872535122</c:v>
                </c:pt>
                <c:pt idx="149">
                  <c:v>818860.81943951722</c:v>
                </c:pt>
                <c:pt idx="150">
                  <c:v>814777.16053297243</c:v>
                </c:pt>
                <c:pt idx="151">
                  <c:v>810588.39115067234</c:v>
                </c:pt>
                <c:pt idx="152">
                  <c:v>800990.21401105728</c:v>
                </c:pt>
                <c:pt idx="153">
                  <c:v>803498.11437112594</c:v>
                </c:pt>
                <c:pt idx="154">
                  <c:v>803719.87985069235</c:v>
                </c:pt>
                <c:pt idx="155">
                  <c:v>801234.77798219398</c:v>
                </c:pt>
                <c:pt idx="156">
                  <c:v>790724.98139940167</c:v>
                </c:pt>
                <c:pt idx="157">
                  <c:v>809450.93040890223</c:v>
                </c:pt>
                <c:pt idx="158">
                  <c:v>793118.638986042</c:v>
                </c:pt>
                <c:pt idx="159">
                  <c:v>778359.49423315073</c:v>
                </c:pt>
                <c:pt idx="160">
                  <c:v>781887.79782050953</c:v>
                </c:pt>
                <c:pt idx="161">
                  <c:v>794555.16203299956</c:v>
                </c:pt>
                <c:pt idx="162">
                  <c:v>792198.51142240968</c:v>
                </c:pt>
                <c:pt idx="163">
                  <c:v>797845.30241182854</c:v>
                </c:pt>
                <c:pt idx="164">
                  <c:v>787110.29386787745</c:v>
                </c:pt>
                <c:pt idx="165">
                  <c:v>805722.3038766773</c:v>
                </c:pt>
                <c:pt idx="166">
                  <c:v>796631.3391220367</c:v>
                </c:pt>
                <c:pt idx="167">
                  <c:v>804837.43854633276</c:v>
                </c:pt>
                <c:pt idx="168">
                  <c:v>808613.73580799229</c:v>
                </c:pt>
                <c:pt idx="169">
                  <c:v>822372.29852276517</c:v>
                </c:pt>
                <c:pt idx="170">
                  <c:v>821740.71659749968</c:v>
                </c:pt>
                <c:pt idx="171">
                  <c:v>809411.31888567086</c:v>
                </c:pt>
                <c:pt idx="172">
                  <c:v>822659.76335319155</c:v>
                </c:pt>
                <c:pt idx="173">
                  <c:v>823028.31492717378</c:v>
                </c:pt>
                <c:pt idx="174">
                  <c:v>793040.45524448738</c:v>
                </c:pt>
                <c:pt idx="175">
                  <c:v>789550.28420095635</c:v>
                </c:pt>
                <c:pt idx="176">
                  <c:v>781542.66521859018</c:v>
                </c:pt>
                <c:pt idx="177">
                  <c:v>778633.76341864653</c:v>
                </c:pt>
                <c:pt idx="178">
                  <c:v>773185.66297600628</c:v>
                </c:pt>
                <c:pt idx="179">
                  <c:v>760822.42422501987</c:v>
                </c:pt>
                <c:pt idx="180">
                  <c:v>749988.3129040557</c:v>
                </c:pt>
                <c:pt idx="181">
                  <c:v>749730.31692441669</c:v>
                </c:pt>
                <c:pt idx="182">
                  <c:v>751251.51973745623</c:v>
                </c:pt>
                <c:pt idx="183">
                  <c:v>751959.19866904907</c:v>
                </c:pt>
                <c:pt idx="184">
                  <c:v>760875.17888766795</c:v>
                </c:pt>
                <c:pt idx="185">
                  <c:v>746717.57443410507</c:v>
                </c:pt>
                <c:pt idx="186">
                  <c:v>754166.82895665977</c:v>
                </c:pt>
                <c:pt idx="187">
                  <c:v>754868.20410758944</c:v>
                </c:pt>
                <c:pt idx="188">
                  <c:v>741005.04953915358</c:v>
                </c:pt>
                <c:pt idx="189">
                  <c:v>717425.52785776823</c:v>
                </c:pt>
                <c:pt idx="190">
                  <c:v>700606.20378267067</c:v>
                </c:pt>
                <c:pt idx="191">
                  <c:v>695557.63547821273</c:v>
                </c:pt>
                <c:pt idx="192">
                  <c:v>700437.6678487279</c:v>
                </c:pt>
                <c:pt idx="193">
                  <c:v>689954.21727403603</c:v>
                </c:pt>
                <c:pt idx="194">
                  <c:v>686363.69552734192</c:v>
                </c:pt>
                <c:pt idx="195">
                  <c:v>681761.62694883114</c:v>
                </c:pt>
                <c:pt idx="196">
                  <c:v>687416.83964437176</c:v>
                </c:pt>
                <c:pt idx="197">
                  <c:v>702700.17824018502</c:v>
                </c:pt>
                <c:pt idx="198">
                  <c:v>684648.51336137298</c:v>
                </c:pt>
                <c:pt idx="199">
                  <c:v>690326.30348267895</c:v>
                </c:pt>
                <c:pt idx="200">
                  <c:v>677288.11058880156</c:v>
                </c:pt>
                <c:pt idx="201">
                  <c:v>661676.61963972985</c:v>
                </c:pt>
                <c:pt idx="202">
                  <c:v>669254.80196446367</c:v>
                </c:pt>
                <c:pt idx="203">
                  <c:v>693331.24346513511</c:v>
                </c:pt>
                <c:pt idx="204">
                  <c:v>695505.53024464194</c:v>
                </c:pt>
                <c:pt idx="205">
                  <c:v>720209.88667893154</c:v>
                </c:pt>
                <c:pt idx="206">
                  <c:v>720436.03258334869</c:v>
                </c:pt>
                <c:pt idx="207">
                  <c:v>723946.71737012744</c:v>
                </c:pt>
                <c:pt idx="208">
                  <c:v>717730.91085478745</c:v>
                </c:pt>
                <c:pt idx="209">
                  <c:v>710547.85989895277</c:v>
                </c:pt>
                <c:pt idx="210">
                  <c:v>708595.98492781026</c:v>
                </c:pt>
                <c:pt idx="211">
                  <c:v>691331.75235102919</c:v>
                </c:pt>
                <c:pt idx="212">
                  <c:v>684726.76878906752</c:v>
                </c:pt>
                <c:pt idx="213">
                  <c:v>701970.24300748261</c:v>
                </c:pt>
                <c:pt idx="214">
                  <c:v>691420.33222532307</c:v>
                </c:pt>
                <c:pt idx="215">
                  <c:v>665748.58671012905</c:v>
                </c:pt>
                <c:pt idx="216">
                  <c:v>670047.32533451635</c:v>
                </c:pt>
                <c:pt idx="217">
                  <c:v>691505.5909283543</c:v>
                </c:pt>
                <c:pt idx="218">
                  <c:v>702797.18572262337</c:v>
                </c:pt>
                <c:pt idx="219">
                  <c:v>702844.97593125259</c:v>
                </c:pt>
                <c:pt idx="220">
                  <c:v>725066.82553527097</c:v>
                </c:pt>
                <c:pt idx="221">
                  <c:v>726081.91909102025</c:v>
                </c:pt>
                <c:pt idx="222">
                  <c:v>719476.75187304919</c:v>
                </c:pt>
                <c:pt idx="223">
                  <c:v>709684.67328005703</c:v>
                </c:pt>
                <c:pt idx="224">
                  <c:v>697188.54555294174</c:v>
                </c:pt>
                <c:pt idx="225">
                  <c:v>711431.41035004274</c:v>
                </c:pt>
                <c:pt idx="226">
                  <c:v>702513.61762130493</c:v>
                </c:pt>
                <c:pt idx="227">
                  <c:v>719220.79647557484</c:v>
                </c:pt>
                <c:pt idx="228">
                  <c:v>710682.92640061327</c:v>
                </c:pt>
                <c:pt idx="229">
                  <c:v>705630.6814768312</c:v>
                </c:pt>
                <c:pt idx="230">
                  <c:v>706772.39191946085</c:v>
                </c:pt>
                <c:pt idx="231">
                  <c:v>706032.40122512111</c:v>
                </c:pt>
                <c:pt idx="232">
                  <c:v>693084.47301905358</c:v>
                </c:pt>
                <c:pt idx="233">
                  <c:v>692121.77868603019</c:v>
                </c:pt>
                <c:pt idx="234">
                  <c:v>690687.70236059278</c:v>
                </c:pt>
                <c:pt idx="235">
                  <c:v>682938.87702780915</c:v>
                </c:pt>
                <c:pt idx="236">
                  <c:v>679805.55346000555</c:v>
                </c:pt>
                <c:pt idx="237">
                  <c:v>691916.96920044895</c:v>
                </c:pt>
                <c:pt idx="238">
                  <c:v>693538.13065928558</c:v>
                </c:pt>
                <c:pt idx="239">
                  <c:v>704134.00621949811</c:v>
                </c:pt>
                <c:pt idx="240">
                  <c:v>704755.05241298373</c:v>
                </c:pt>
                <c:pt idx="241">
                  <c:v>702906.47991050442</c:v>
                </c:pt>
                <c:pt idx="242">
                  <c:v>707677.80909613695</c:v>
                </c:pt>
                <c:pt idx="243">
                  <c:v>713806.29892290954</c:v>
                </c:pt>
                <c:pt idx="244">
                  <c:v>713134.60719562299</c:v>
                </c:pt>
                <c:pt idx="245">
                  <c:v>715730.41716581513</c:v>
                </c:pt>
                <c:pt idx="246">
                  <c:v>710069.70529645064</c:v>
                </c:pt>
                <c:pt idx="247">
                  <c:v>702572.78934793058</c:v>
                </c:pt>
                <c:pt idx="248">
                  <c:v>700158.74924373114</c:v>
                </c:pt>
                <c:pt idx="249">
                  <c:v>709326.62790632853</c:v>
                </c:pt>
                <c:pt idx="250">
                  <c:v>701805.63767063781</c:v>
                </c:pt>
                <c:pt idx="251">
                  <c:v>693803.64978991717</c:v>
                </c:pt>
                <c:pt idx="252">
                  <c:v>683179.43450068426</c:v>
                </c:pt>
                <c:pt idx="253">
                  <c:v>681070.45958638063</c:v>
                </c:pt>
                <c:pt idx="254">
                  <c:v>678581.1470565924</c:v>
                </c:pt>
                <c:pt idx="255">
                  <c:v>675870.2153741013</c:v>
                </c:pt>
                <c:pt idx="256">
                  <c:v>689228.79018097033</c:v>
                </c:pt>
                <c:pt idx="257">
                  <c:v>697522.28021321807</c:v>
                </c:pt>
                <c:pt idx="258">
                  <c:v>691231.32676797512</c:v>
                </c:pt>
                <c:pt idx="259">
                  <c:v>694509.14571950887</c:v>
                </c:pt>
                <c:pt idx="260">
                  <c:v>693725.04489399155</c:v>
                </c:pt>
                <c:pt idx="261">
                  <c:v>696568.62385301199</c:v>
                </c:pt>
                <c:pt idx="262">
                  <c:v>690260.49839539919</c:v>
                </c:pt>
                <c:pt idx="263">
                  <c:v>709266.82121871645</c:v>
                </c:pt>
                <c:pt idx="264">
                  <c:v>715960.17221055739</c:v>
                </c:pt>
                <c:pt idx="265">
                  <c:v>721335.60118351434</c:v>
                </c:pt>
                <c:pt idx="266">
                  <c:v>731266.94974060892</c:v>
                </c:pt>
                <c:pt idx="267">
                  <c:v>722969.26366190217</c:v>
                </c:pt>
                <c:pt idx="268">
                  <c:v>726659.29878363258</c:v>
                </c:pt>
                <c:pt idx="269">
                  <c:v>736884.12177681713</c:v>
                </c:pt>
                <c:pt idx="270">
                  <c:v>750585.74513713515</c:v>
                </c:pt>
                <c:pt idx="271">
                  <c:v>752357.12749565882</c:v>
                </c:pt>
                <c:pt idx="272">
                  <c:v>751855.30529161915</c:v>
                </c:pt>
                <c:pt idx="273">
                  <c:v>759982.8611418216</c:v>
                </c:pt>
                <c:pt idx="274">
                  <c:v>764263.84459863347</c:v>
                </c:pt>
                <c:pt idx="275">
                  <c:v>772504.13737109595</c:v>
                </c:pt>
                <c:pt idx="276">
                  <c:v>762725.78000025253</c:v>
                </c:pt>
                <c:pt idx="277">
                  <c:v>772421.55011561583</c:v>
                </c:pt>
                <c:pt idx="278">
                  <c:v>769048.38520626083</c:v>
                </c:pt>
                <c:pt idx="279">
                  <c:v>762473.79056113248</c:v>
                </c:pt>
                <c:pt idx="280">
                  <c:v>751816.69439045968</c:v>
                </c:pt>
                <c:pt idx="281">
                  <c:v>749995.79435664578</c:v>
                </c:pt>
                <c:pt idx="282">
                  <c:v>746410.81445962109</c:v>
                </c:pt>
                <c:pt idx="283">
                  <c:v>759358.80285805208</c:v>
                </c:pt>
                <c:pt idx="284">
                  <c:v>752084.14552667201</c:v>
                </c:pt>
                <c:pt idx="285">
                  <c:v>760353.31070673768</c:v>
                </c:pt>
                <c:pt idx="286">
                  <c:v>757969.60307767219</c:v>
                </c:pt>
                <c:pt idx="287">
                  <c:v>752650.93037287612</c:v>
                </c:pt>
                <c:pt idx="288">
                  <c:v>742386.27698445076</c:v>
                </c:pt>
                <c:pt idx="289">
                  <c:v>723715.26211829192</c:v>
                </c:pt>
                <c:pt idx="290">
                  <c:v>732994.01549391064</c:v>
                </c:pt>
                <c:pt idx="291">
                  <c:v>729735.85709504015</c:v>
                </c:pt>
                <c:pt idx="292">
                  <c:v>724432.8666215305</c:v>
                </c:pt>
                <c:pt idx="293">
                  <c:v>726071.53376582847</c:v>
                </c:pt>
                <c:pt idx="294">
                  <c:v>717625.8696850643</c:v>
                </c:pt>
                <c:pt idx="295">
                  <c:v>711958.77819216147</c:v>
                </c:pt>
                <c:pt idx="296">
                  <c:v>717629.52986046206</c:v>
                </c:pt>
                <c:pt idx="297">
                  <c:v>722025.72836038726</c:v>
                </c:pt>
                <c:pt idx="298">
                  <c:v>714525.32509417948</c:v>
                </c:pt>
                <c:pt idx="299">
                  <c:v>715647.84437990247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D-4297-A46A-235352BAFBCD}"/>
            </c:ext>
          </c:extLst>
        </c:ser>
        <c:ser>
          <c:idx val="1"/>
          <c:order val="1"/>
          <c:tx>
            <c:strRef>
              <c:f>创业板!$D$1</c:f>
              <c:strCache>
                <c:ptCount val="1"/>
                <c:pt idx="0">
                  <c:v>Baseline portfolio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创业板!$D$2:$D$302</c:f>
              <c:numCache>
                <c:formatCode>General</c:formatCode>
                <c:ptCount val="301"/>
                <c:pt idx="0">
                  <c:v>1000000</c:v>
                </c:pt>
                <c:pt idx="1">
                  <c:v>1002107.6716</c:v>
                </c:pt>
                <c:pt idx="2">
                  <c:v>962296.51850000001</c:v>
                </c:pt>
                <c:pt idx="3">
                  <c:v>961812.01080000005</c:v>
                </c:pt>
                <c:pt idx="4">
                  <c:v>964558.21499999997</c:v>
                </c:pt>
                <c:pt idx="5">
                  <c:v>958575.60510000004</c:v>
                </c:pt>
                <c:pt idx="6">
                  <c:v>959719.8162</c:v>
                </c:pt>
                <c:pt idx="7">
                  <c:v>975080.50349999999</c:v>
                </c:pt>
                <c:pt idx="8">
                  <c:v>957178.81579999998</c:v>
                </c:pt>
                <c:pt idx="9">
                  <c:v>929729.35829999996</c:v>
                </c:pt>
                <c:pt idx="10">
                  <c:v>941883.03760000004</c:v>
                </c:pt>
                <c:pt idx="11">
                  <c:v>937454.6997</c:v>
                </c:pt>
                <c:pt idx="12">
                  <c:v>918228.24159999995</c:v>
                </c:pt>
                <c:pt idx="13">
                  <c:v>906342.51009999996</c:v>
                </c:pt>
                <c:pt idx="14">
                  <c:v>919866.16359999997</c:v>
                </c:pt>
                <c:pt idx="15">
                  <c:v>935536.2977</c:v>
                </c:pt>
                <c:pt idx="16">
                  <c:v>925420.60160000005</c:v>
                </c:pt>
                <c:pt idx="17">
                  <c:v>939880.57779999997</c:v>
                </c:pt>
                <c:pt idx="18">
                  <c:v>934315.83239999996</c:v>
                </c:pt>
                <c:pt idx="19">
                  <c:v>899685.33589999995</c:v>
                </c:pt>
                <c:pt idx="20">
                  <c:v>879657.92370000004</c:v>
                </c:pt>
                <c:pt idx="21">
                  <c:v>877788.50919999997</c:v>
                </c:pt>
                <c:pt idx="22">
                  <c:v>862213.57110000099</c:v>
                </c:pt>
                <c:pt idx="23">
                  <c:v>883798.99439999997</c:v>
                </c:pt>
                <c:pt idx="24">
                  <c:v>860401.75509999995</c:v>
                </c:pt>
                <c:pt idx="25">
                  <c:v>872841.29850000003</c:v>
                </c:pt>
                <c:pt idx="26">
                  <c:v>862171.19400000002</c:v>
                </c:pt>
                <c:pt idx="27">
                  <c:v>875797.55480000004</c:v>
                </c:pt>
                <c:pt idx="28">
                  <c:v>891584.32460000005</c:v>
                </c:pt>
                <c:pt idx="29">
                  <c:v>883331.18359999999</c:v>
                </c:pt>
                <c:pt idx="30">
                  <c:v>875160.56330000004</c:v>
                </c:pt>
                <c:pt idx="31">
                  <c:v>857107.39049999998</c:v>
                </c:pt>
                <c:pt idx="32">
                  <c:v>852580.58970000001</c:v>
                </c:pt>
                <c:pt idx="33">
                  <c:v>857409.635799999</c:v>
                </c:pt>
                <c:pt idx="34">
                  <c:v>839852.46699999901</c:v>
                </c:pt>
                <c:pt idx="35">
                  <c:v>844514.00780000002</c:v>
                </c:pt>
                <c:pt idx="36">
                  <c:v>828263.17429999996</c:v>
                </c:pt>
                <c:pt idx="37">
                  <c:v>826186.1115</c:v>
                </c:pt>
                <c:pt idx="38">
                  <c:v>827459.44810000004</c:v>
                </c:pt>
                <c:pt idx="39">
                  <c:v>823117.01100000099</c:v>
                </c:pt>
                <c:pt idx="40">
                  <c:v>842739.91910000099</c:v>
                </c:pt>
                <c:pt idx="41">
                  <c:v>832148.90810000105</c:v>
                </c:pt>
                <c:pt idx="42">
                  <c:v>812328.93810000096</c:v>
                </c:pt>
                <c:pt idx="43">
                  <c:v>812328.93810000096</c:v>
                </c:pt>
                <c:pt idx="44">
                  <c:v>812328.93810000096</c:v>
                </c:pt>
                <c:pt idx="45">
                  <c:v>812328.93810000096</c:v>
                </c:pt>
                <c:pt idx="46">
                  <c:v>811378.88890000095</c:v>
                </c:pt>
                <c:pt idx="47">
                  <c:v>808976.38390000095</c:v>
                </c:pt>
                <c:pt idx="48">
                  <c:v>804256.08340000105</c:v>
                </c:pt>
                <c:pt idx="49">
                  <c:v>802100.71889999998</c:v>
                </c:pt>
                <c:pt idx="50">
                  <c:v>842897.71109999996</c:v>
                </c:pt>
                <c:pt idx="51">
                  <c:v>829662.20810000098</c:v>
                </c:pt>
                <c:pt idx="52">
                  <c:v>838486.20560000103</c:v>
                </c:pt>
                <c:pt idx="53">
                  <c:v>842350.85480000102</c:v>
                </c:pt>
                <c:pt idx="54">
                  <c:v>842809.4227</c:v>
                </c:pt>
                <c:pt idx="55">
                  <c:v>835540.35279999999</c:v>
                </c:pt>
                <c:pt idx="56">
                  <c:v>819869.46400000004</c:v>
                </c:pt>
                <c:pt idx="57">
                  <c:v>812148.57490000001</c:v>
                </c:pt>
                <c:pt idx="58">
                  <c:v>784805.9608</c:v>
                </c:pt>
                <c:pt idx="59">
                  <c:v>759817.03570000001</c:v>
                </c:pt>
                <c:pt idx="60">
                  <c:v>762031.826</c:v>
                </c:pt>
                <c:pt idx="61">
                  <c:v>779493.96569999994</c:v>
                </c:pt>
                <c:pt idx="62">
                  <c:v>783128.71409999998</c:v>
                </c:pt>
                <c:pt idx="63">
                  <c:v>773968.88479999895</c:v>
                </c:pt>
                <c:pt idx="64">
                  <c:v>754400.77809999895</c:v>
                </c:pt>
                <c:pt idx="65">
                  <c:v>773128.66879999801</c:v>
                </c:pt>
                <c:pt idx="66">
                  <c:v>779577.50579999899</c:v>
                </c:pt>
                <c:pt idx="67">
                  <c:v>790243.43929999799</c:v>
                </c:pt>
                <c:pt idx="68">
                  <c:v>795411.93019999797</c:v>
                </c:pt>
                <c:pt idx="69">
                  <c:v>784539.09869999799</c:v>
                </c:pt>
                <c:pt idx="70">
                  <c:v>787137.05459999805</c:v>
                </c:pt>
                <c:pt idx="71">
                  <c:v>793952.52989999799</c:v>
                </c:pt>
                <c:pt idx="72">
                  <c:v>790985.62249999796</c:v>
                </c:pt>
                <c:pt idx="73">
                  <c:v>789766.99839999899</c:v>
                </c:pt>
                <c:pt idx="74">
                  <c:v>782092.287799999</c:v>
                </c:pt>
                <c:pt idx="75">
                  <c:v>795106.51699999801</c:v>
                </c:pt>
                <c:pt idx="76">
                  <c:v>787830.63289999799</c:v>
                </c:pt>
                <c:pt idx="77">
                  <c:v>790158.53919999802</c:v>
                </c:pt>
                <c:pt idx="78">
                  <c:v>777470.14309999801</c:v>
                </c:pt>
                <c:pt idx="79">
                  <c:v>765288.97289999796</c:v>
                </c:pt>
                <c:pt idx="80">
                  <c:v>747141.93409999798</c:v>
                </c:pt>
                <c:pt idx="81">
                  <c:v>725354.39389999805</c:v>
                </c:pt>
                <c:pt idx="82">
                  <c:v>731943.40429999796</c:v>
                </c:pt>
                <c:pt idx="83">
                  <c:v>720518.78769999801</c:v>
                </c:pt>
                <c:pt idx="84">
                  <c:v>723099.825599998</c:v>
                </c:pt>
                <c:pt idx="85">
                  <c:v>712520.563199998</c:v>
                </c:pt>
                <c:pt idx="86">
                  <c:v>714226.14259999897</c:v>
                </c:pt>
                <c:pt idx="87">
                  <c:v>710625.05379999802</c:v>
                </c:pt>
                <c:pt idx="88">
                  <c:v>701556.04659999895</c:v>
                </c:pt>
                <c:pt idx="89">
                  <c:v>694199.11439999798</c:v>
                </c:pt>
                <c:pt idx="90">
                  <c:v>686755.94039999903</c:v>
                </c:pt>
                <c:pt idx="91">
                  <c:v>675166.46459999797</c:v>
                </c:pt>
                <c:pt idx="92">
                  <c:v>669360.82309999701</c:v>
                </c:pt>
                <c:pt idx="93">
                  <c:v>677879.95769999898</c:v>
                </c:pt>
                <c:pt idx="94">
                  <c:v>674387.13319999899</c:v>
                </c:pt>
                <c:pt idx="95">
                  <c:v>684835.80229999998</c:v>
                </c:pt>
                <c:pt idx="96">
                  <c:v>687582.46610000101</c:v>
                </c:pt>
                <c:pt idx="97">
                  <c:v>686780.65180000104</c:v>
                </c:pt>
                <c:pt idx="98">
                  <c:v>689261.51400000101</c:v>
                </c:pt>
                <c:pt idx="99">
                  <c:v>702198.21270000096</c:v>
                </c:pt>
                <c:pt idx="100">
                  <c:v>716131.28700000094</c:v>
                </c:pt>
                <c:pt idx="101">
                  <c:v>717310.89950000099</c:v>
                </c:pt>
                <c:pt idx="102">
                  <c:v>714823.30710000102</c:v>
                </c:pt>
                <c:pt idx="103">
                  <c:v>707577.95230000105</c:v>
                </c:pt>
                <c:pt idx="104">
                  <c:v>717015.31290000095</c:v>
                </c:pt>
                <c:pt idx="105">
                  <c:v>716594.31910000101</c:v>
                </c:pt>
                <c:pt idx="106">
                  <c:v>718588.51840000099</c:v>
                </c:pt>
                <c:pt idx="107">
                  <c:v>734083.17420000106</c:v>
                </c:pt>
                <c:pt idx="108">
                  <c:v>740120.03530000104</c:v>
                </c:pt>
                <c:pt idx="109">
                  <c:v>710229.70310000097</c:v>
                </c:pt>
                <c:pt idx="110">
                  <c:v>716710.74810000102</c:v>
                </c:pt>
                <c:pt idx="111">
                  <c:v>716886.04410000099</c:v>
                </c:pt>
                <c:pt idx="112">
                  <c:v>704441.17810000095</c:v>
                </c:pt>
                <c:pt idx="113">
                  <c:v>718365.55400000105</c:v>
                </c:pt>
                <c:pt idx="114">
                  <c:v>729213.37820000097</c:v>
                </c:pt>
                <c:pt idx="115">
                  <c:v>731202.65920000104</c:v>
                </c:pt>
                <c:pt idx="116">
                  <c:v>759126.26080000098</c:v>
                </c:pt>
                <c:pt idx="117">
                  <c:v>778563.43980000098</c:v>
                </c:pt>
                <c:pt idx="118">
                  <c:v>772330.21180000098</c:v>
                </c:pt>
                <c:pt idx="119">
                  <c:v>766156.59910000104</c:v>
                </c:pt>
                <c:pt idx="120">
                  <c:v>745572.35350000102</c:v>
                </c:pt>
                <c:pt idx="121">
                  <c:v>762007.75050000101</c:v>
                </c:pt>
                <c:pt idx="122">
                  <c:v>771617.41990000103</c:v>
                </c:pt>
                <c:pt idx="123">
                  <c:v>786226.883800001</c:v>
                </c:pt>
                <c:pt idx="124">
                  <c:v>777728.53430000099</c:v>
                </c:pt>
                <c:pt idx="125">
                  <c:v>794111.99010000098</c:v>
                </c:pt>
                <c:pt idx="126">
                  <c:v>810411.87420000101</c:v>
                </c:pt>
                <c:pt idx="127">
                  <c:v>819417.22900000098</c:v>
                </c:pt>
                <c:pt idx="128">
                  <c:v>811773.62010000099</c:v>
                </c:pt>
                <c:pt idx="129">
                  <c:v>816930.99500000104</c:v>
                </c:pt>
                <c:pt idx="130">
                  <c:v>853976.88740000105</c:v>
                </c:pt>
                <c:pt idx="131">
                  <c:v>855318.576100001</c:v>
                </c:pt>
                <c:pt idx="132">
                  <c:v>863888.65970000101</c:v>
                </c:pt>
                <c:pt idx="133">
                  <c:v>867464.05010000104</c:v>
                </c:pt>
                <c:pt idx="134">
                  <c:v>855582.86460000102</c:v>
                </c:pt>
                <c:pt idx="135">
                  <c:v>865860.93460000097</c:v>
                </c:pt>
                <c:pt idx="136">
                  <c:v>875991.43310000096</c:v>
                </c:pt>
                <c:pt idx="137">
                  <c:v>893256.42020000005</c:v>
                </c:pt>
                <c:pt idx="138">
                  <c:v>878585.66390000097</c:v>
                </c:pt>
                <c:pt idx="139">
                  <c:v>882022.88000000105</c:v>
                </c:pt>
                <c:pt idx="140">
                  <c:v>897946.15730000101</c:v>
                </c:pt>
                <c:pt idx="141">
                  <c:v>897724.57880000095</c:v>
                </c:pt>
                <c:pt idx="142">
                  <c:v>910985.31310000096</c:v>
                </c:pt>
                <c:pt idx="143">
                  <c:v>880826.24610000104</c:v>
                </c:pt>
                <c:pt idx="144">
                  <c:v>888820.327400001</c:v>
                </c:pt>
                <c:pt idx="145">
                  <c:v>908068.267300001</c:v>
                </c:pt>
                <c:pt idx="146">
                  <c:v>901013.44580000103</c:v>
                </c:pt>
                <c:pt idx="147">
                  <c:v>915894.99350000103</c:v>
                </c:pt>
                <c:pt idx="148">
                  <c:v>915336.23200000101</c:v>
                </c:pt>
                <c:pt idx="149">
                  <c:v>933693.26530000102</c:v>
                </c:pt>
                <c:pt idx="150">
                  <c:v>930266.10160000005</c:v>
                </c:pt>
                <c:pt idx="151">
                  <c:v>912616.52430000005</c:v>
                </c:pt>
                <c:pt idx="152">
                  <c:v>907324.59380000003</c:v>
                </c:pt>
                <c:pt idx="153">
                  <c:v>906388.30440000002</c:v>
                </c:pt>
                <c:pt idx="154">
                  <c:v>913558.48419999995</c:v>
                </c:pt>
                <c:pt idx="155">
                  <c:v>924516.90720000002</c:v>
                </c:pt>
                <c:pt idx="156">
                  <c:v>913623.25080000004</c:v>
                </c:pt>
                <c:pt idx="157">
                  <c:v>917384.60519999999</c:v>
                </c:pt>
                <c:pt idx="158">
                  <c:v>899430.82979999995</c:v>
                </c:pt>
                <c:pt idx="159">
                  <c:v>882146.99</c:v>
                </c:pt>
                <c:pt idx="160">
                  <c:v>886671.54319999996</c:v>
                </c:pt>
                <c:pt idx="161">
                  <c:v>902851.82109999994</c:v>
                </c:pt>
                <c:pt idx="162">
                  <c:v>910329.72840000002</c:v>
                </c:pt>
                <c:pt idx="163">
                  <c:v>918046.27989999996</c:v>
                </c:pt>
                <c:pt idx="164">
                  <c:v>915574.25619999995</c:v>
                </c:pt>
                <c:pt idx="165">
                  <c:v>922392.59109999996</c:v>
                </c:pt>
                <c:pt idx="166">
                  <c:v>905773.75060000003</c:v>
                </c:pt>
                <c:pt idx="167">
                  <c:v>907078.81910000101</c:v>
                </c:pt>
                <c:pt idx="168">
                  <c:v>898925.38650000095</c:v>
                </c:pt>
                <c:pt idx="169">
                  <c:v>895225.56190000102</c:v>
                </c:pt>
                <c:pt idx="170">
                  <c:v>892133.27150000096</c:v>
                </c:pt>
                <c:pt idx="171">
                  <c:v>879807.83220000099</c:v>
                </c:pt>
                <c:pt idx="172">
                  <c:v>883250.20000000298</c:v>
                </c:pt>
                <c:pt idx="173">
                  <c:v>879249.74430000305</c:v>
                </c:pt>
                <c:pt idx="174">
                  <c:v>857858.98740000406</c:v>
                </c:pt>
                <c:pt idx="175">
                  <c:v>854596.07150000404</c:v>
                </c:pt>
                <c:pt idx="176">
                  <c:v>851997.85640000203</c:v>
                </c:pt>
                <c:pt idx="177">
                  <c:v>852807.45700000494</c:v>
                </c:pt>
                <c:pt idx="178">
                  <c:v>852620.16720000398</c:v>
                </c:pt>
                <c:pt idx="179">
                  <c:v>846690.33420000505</c:v>
                </c:pt>
                <c:pt idx="180">
                  <c:v>847303.26730000705</c:v>
                </c:pt>
                <c:pt idx="181">
                  <c:v>850354.78530000697</c:v>
                </c:pt>
                <c:pt idx="182">
                  <c:v>849764.94400000805</c:v>
                </c:pt>
                <c:pt idx="183">
                  <c:v>857005.98850000801</c:v>
                </c:pt>
                <c:pt idx="184">
                  <c:v>867695.28580000799</c:v>
                </c:pt>
                <c:pt idx="185">
                  <c:v>858780.84330000798</c:v>
                </c:pt>
                <c:pt idx="186">
                  <c:v>867883.22560000804</c:v>
                </c:pt>
                <c:pt idx="187">
                  <c:v>860447.15910000901</c:v>
                </c:pt>
                <c:pt idx="188">
                  <c:v>865766.09880000795</c:v>
                </c:pt>
                <c:pt idx="189">
                  <c:v>835507.178200008</c:v>
                </c:pt>
                <c:pt idx="190">
                  <c:v>828591.26750000904</c:v>
                </c:pt>
                <c:pt idx="191">
                  <c:v>814364.68240000797</c:v>
                </c:pt>
                <c:pt idx="192">
                  <c:v>827271.03150000796</c:v>
                </c:pt>
                <c:pt idx="193">
                  <c:v>808796.33480000799</c:v>
                </c:pt>
                <c:pt idx="194">
                  <c:v>822192.17980000796</c:v>
                </c:pt>
                <c:pt idx="195">
                  <c:v>800070.43240000797</c:v>
                </c:pt>
                <c:pt idx="196">
                  <c:v>800868.59730000899</c:v>
                </c:pt>
                <c:pt idx="197">
                  <c:v>822696.51450000901</c:v>
                </c:pt>
                <c:pt idx="198">
                  <c:v>799935.87540000898</c:v>
                </c:pt>
                <c:pt idx="199">
                  <c:v>809678.64310000802</c:v>
                </c:pt>
                <c:pt idx="200">
                  <c:v>809678.64310000802</c:v>
                </c:pt>
                <c:pt idx="201">
                  <c:v>789789.32680000796</c:v>
                </c:pt>
                <c:pt idx="202">
                  <c:v>803199.65810000803</c:v>
                </c:pt>
                <c:pt idx="203">
                  <c:v>819852.99980000895</c:v>
                </c:pt>
                <c:pt idx="204">
                  <c:v>831425.96350000799</c:v>
                </c:pt>
                <c:pt idx="205">
                  <c:v>848814.91990000801</c:v>
                </c:pt>
                <c:pt idx="206">
                  <c:v>857639.74140000797</c:v>
                </c:pt>
                <c:pt idx="207">
                  <c:v>873896.14450000797</c:v>
                </c:pt>
                <c:pt idx="208">
                  <c:v>878307.54960000794</c:v>
                </c:pt>
                <c:pt idx="209">
                  <c:v>866675.24000000802</c:v>
                </c:pt>
                <c:pt idx="210">
                  <c:v>864318.33850000799</c:v>
                </c:pt>
                <c:pt idx="211">
                  <c:v>860805.46290000796</c:v>
                </c:pt>
                <c:pt idx="212">
                  <c:v>857505.52930000797</c:v>
                </c:pt>
                <c:pt idx="213">
                  <c:v>874681.17910000903</c:v>
                </c:pt>
                <c:pt idx="214">
                  <c:v>871505.06470000802</c:v>
                </c:pt>
                <c:pt idx="215">
                  <c:v>857610.94430000696</c:v>
                </c:pt>
                <c:pt idx="216">
                  <c:v>861391.06440000504</c:v>
                </c:pt>
                <c:pt idx="217">
                  <c:v>879614.740000005</c:v>
                </c:pt>
                <c:pt idx="218">
                  <c:v>894013.25420000497</c:v>
                </c:pt>
                <c:pt idx="219">
                  <c:v>895454.199700005</c:v>
                </c:pt>
                <c:pt idx="220">
                  <c:v>912838.82760000497</c:v>
                </c:pt>
                <c:pt idx="221">
                  <c:v>906948.14150000503</c:v>
                </c:pt>
                <c:pt idx="222">
                  <c:v>901808.749800005</c:v>
                </c:pt>
                <c:pt idx="223">
                  <c:v>904810.24920000497</c:v>
                </c:pt>
                <c:pt idx="224">
                  <c:v>886966.26970000495</c:v>
                </c:pt>
                <c:pt idx="225">
                  <c:v>882175.90570000501</c:v>
                </c:pt>
                <c:pt idx="226">
                  <c:v>876867.08580000501</c:v>
                </c:pt>
                <c:pt idx="227">
                  <c:v>898935.40470000496</c:v>
                </c:pt>
                <c:pt idx="228">
                  <c:v>881802.71830000496</c:v>
                </c:pt>
                <c:pt idx="229">
                  <c:v>885851.95060000499</c:v>
                </c:pt>
                <c:pt idx="230">
                  <c:v>884259.06160000502</c:v>
                </c:pt>
                <c:pt idx="231">
                  <c:v>902133.25460000499</c:v>
                </c:pt>
                <c:pt idx="232">
                  <c:v>890043.08760000498</c:v>
                </c:pt>
                <c:pt idx="233">
                  <c:v>889021.71960000496</c:v>
                </c:pt>
                <c:pt idx="234">
                  <c:v>907152.274400005</c:v>
                </c:pt>
                <c:pt idx="235">
                  <c:v>868132.08110000496</c:v>
                </c:pt>
                <c:pt idx="236">
                  <c:v>868275.84280000499</c:v>
                </c:pt>
                <c:pt idx="237">
                  <c:v>882764.90300000506</c:v>
                </c:pt>
                <c:pt idx="238">
                  <c:v>871382.507200005</c:v>
                </c:pt>
                <c:pt idx="239">
                  <c:v>878360.86100000399</c:v>
                </c:pt>
                <c:pt idx="240">
                  <c:v>888184.40840000496</c:v>
                </c:pt>
                <c:pt idx="241">
                  <c:v>887139.62280000397</c:v>
                </c:pt>
                <c:pt idx="242">
                  <c:v>882790.92890000402</c:v>
                </c:pt>
                <c:pt idx="243">
                  <c:v>894092.12800000398</c:v>
                </c:pt>
                <c:pt idx="244">
                  <c:v>900115.80440000398</c:v>
                </c:pt>
                <c:pt idx="245">
                  <c:v>904549.66080000403</c:v>
                </c:pt>
                <c:pt idx="246">
                  <c:v>910043.48820000398</c:v>
                </c:pt>
                <c:pt idx="247">
                  <c:v>914310.61760000396</c:v>
                </c:pt>
                <c:pt idx="248">
                  <c:v>910174.52880000405</c:v>
                </c:pt>
                <c:pt idx="249">
                  <c:v>931735.70730000397</c:v>
                </c:pt>
                <c:pt idx="250">
                  <c:v>935953.17140000395</c:v>
                </c:pt>
                <c:pt idx="251">
                  <c:v>938451.28340000403</c:v>
                </c:pt>
                <c:pt idx="252">
                  <c:v>930364.84310000401</c:v>
                </c:pt>
                <c:pt idx="253">
                  <c:v>912051.43970000395</c:v>
                </c:pt>
                <c:pt idx="254">
                  <c:v>895715.87530000403</c:v>
                </c:pt>
                <c:pt idx="255">
                  <c:v>885196.22940000403</c:v>
                </c:pt>
                <c:pt idx="256">
                  <c:v>911029.22180000402</c:v>
                </c:pt>
                <c:pt idx="257">
                  <c:v>915722.39790000406</c:v>
                </c:pt>
                <c:pt idx="258">
                  <c:v>903143.79030000395</c:v>
                </c:pt>
                <c:pt idx="259">
                  <c:v>909494.51480000396</c:v>
                </c:pt>
                <c:pt idx="260">
                  <c:v>898820.61070000404</c:v>
                </c:pt>
                <c:pt idx="261">
                  <c:v>928002.20290000399</c:v>
                </c:pt>
                <c:pt idx="262">
                  <c:v>921869.78210000496</c:v>
                </c:pt>
                <c:pt idx="263">
                  <c:v>933063.50970000494</c:v>
                </c:pt>
                <c:pt idx="264">
                  <c:v>918401.95910000498</c:v>
                </c:pt>
                <c:pt idx="265">
                  <c:v>936820.03410000401</c:v>
                </c:pt>
                <c:pt idx="266">
                  <c:v>944826.75100000401</c:v>
                </c:pt>
                <c:pt idx="267">
                  <c:v>918473.56950000406</c:v>
                </c:pt>
                <c:pt idx="268">
                  <c:v>926285.96480000496</c:v>
                </c:pt>
                <c:pt idx="269">
                  <c:v>933705.40070000396</c:v>
                </c:pt>
                <c:pt idx="270">
                  <c:v>932238.458200005</c:v>
                </c:pt>
                <c:pt idx="271">
                  <c:v>929951.16380000499</c:v>
                </c:pt>
                <c:pt idx="272">
                  <c:v>921739.27630000503</c:v>
                </c:pt>
                <c:pt idx="273">
                  <c:v>926608.91080000496</c:v>
                </c:pt>
                <c:pt idx="274">
                  <c:v>922761.67370000505</c:v>
                </c:pt>
                <c:pt idx="275">
                  <c:v>931432.74960000499</c:v>
                </c:pt>
                <c:pt idx="276">
                  <c:v>924914.273100005</c:v>
                </c:pt>
                <c:pt idx="277">
                  <c:v>933283.27790000499</c:v>
                </c:pt>
                <c:pt idx="278">
                  <c:v>940955.84880000504</c:v>
                </c:pt>
                <c:pt idx="279">
                  <c:v>934941.35560000595</c:v>
                </c:pt>
                <c:pt idx="280">
                  <c:v>934512.066000005</c:v>
                </c:pt>
                <c:pt idx="281">
                  <c:v>933983.26320000598</c:v>
                </c:pt>
                <c:pt idx="282">
                  <c:v>927205.07320000604</c:v>
                </c:pt>
                <c:pt idx="283">
                  <c:v>950173.34980000602</c:v>
                </c:pt>
                <c:pt idx="284">
                  <c:v>932796.424100006</c:v>
                </c:pt>
                <c:pt idx="285">
                  <c:v>951078.48500000499</c:v>
                </c:pt>
                <c:pt idx="286">
                  <c:v>942544.00770000601</c:v>
                </c:pt>
                <c:pt idx="287">
                  <c:v>945614.44430000603</c:v>
                </c:pt>
                <c:pt idx="288">
                  <c:v>918479.27130000596</c:v>
                </c:pt>
                <c:pt idx="289">
                  <c:v>893866.16870000598</c:v>
                </c:pt>
                <c:pt idx="290">
                  <c:v>885289.90410000598</c:v>
                </c:pt>
                <c:pt idx="291">
                  <c:v>900618.10840000596</c:v>
                </c:pt>
                <c:pt idx="292">
                  <c:v>894431.99260000605</c:v>
                </c:pt>
                <c:pt idx="293">
                  <c:v>898554.92810000596</c:v>
                </c:pt>
                <c:pt idx="294">
                  <c:v>913229.767300006</c:v>
                </c:pt>
                <c:pt idx="295">
                  <c:v>909322.06710000604</c:v>
                </c:pt>
                <c:pt idx="296">
                  <c:v>915255.91180000606</c:v>
                </c:pt>
                <c:pt idx="297">
                  <c:v>926785.60490000597</c:v>
                </c:pt>
                <c:pt idx="298">
                  <c:v>955700.04390000599</c:v>
                </c:pt>
                <c:pt idx="299">
                  <c:v>941204.37860000599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D-4297-A46A-235352BAFBCD}"/>
            </c:ext>
          </c:extLst>
        </c:ser>
        <c:ser>
          <c:idx val="3"/>
          <c:order val="3"/>
          <c:tx>
            <c:strRef>
              <c:f>创业板!$H$1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创业板!$H$2:$H$302</c:f>
              <c:numCache>
                <c:formatCode>General</c:formatCode>
                <c:ptCount val="301"/>
                <c:pt idx="0">
                  <c:v>1000000</c:v>
                </c:pt>
                <c:pt idx="1">
                  <c:v>1036815.2251800001</c:v>
                </c:pt>
                <c:pt idx="2">
                  <c:v>994301.6716</c:v>
                </c:pt>
                <c:pt idx="3">
                  <c:v>978619.78403999994</c:v>
                </c:pt>
                <c:pt idx="4">
                  <c:v>988475.45797999797</c:v>
                </c:pt>
                <c:pt idx="5">
                  <c:v>977124.60973999801</c:v>
                </c:pt>
                <c:pt idx="6">
                  <c:v>978417.78867999802</c:v>
                </c:pt>
                <c:pt idx="7">
                  <c:v>1005553.24006</c:v>
                </c:pt>
                <c:pt idx="8">
                  <c:v>990759.32675999997</c:v>
                </c:pt>
                <c:pt idx="9">
                  <c:v>989668.74800000002</c:v>
                </c:pt>
                <c:pt idx="10">
                  <c:v>1005631.83558</c:v>
                </c:pt>
                <c:pt idx="11">
                  <c:v>1018135.9164000001</c:v>
                </c:pt>
                <c:pt idx="12">
                  <c:v>1000501.4939999999</c:v>
                </c:pt>
                <c:pt idx="13">
                  <c:v>986525.97629999998</c:v>
                </c:pt>
                <c:pt idx="14">
                  <c:v>1002912.8016799999</c:v>
                </c:pt>
                <c:pt idx="15">
                  <c:v>1005399.6977600001</c:v>
                </c:pt>
                <c:pt idx="16">
                  <c:v>1002288.45862</c:v>
                </c:pt>
                <c:pt idx="17">
                  <c:v>1028870.6264599999</c:v>
                </c:pt>
                <c:pt idx="18">
                  <c:v>1014252.36996</c:v>
                </c:pt>
                <c:pt idx="19">
                  <c:v>980505.02902000002</c:v>
                </c:pt>
                <c:pt idx="20">
                  <c:v>949093.3412599999</c:v>
                </c:pt>
                <c:pt idx="21">
                  <c:v>954461.91476000007</c:v>
                </c:pt>
                <c:pt idx="22">
                  <c:v>928312.80713999993</c:v>
                </c:pt>
                <c:pt idx="23">
                  <c:v>965267.2463</c:v>
                </c:pt>
                <c:pt idx="24">
                  <c:v>942464.56994000007</c:v>
                </c:pt>
                <c:pt idx="25">
                  <c:v>933626.04813999997</c:v>
                </c:pt>
                <c:pt idx="26">
                  <c:v>924195.79723999999</c:v>
                </c:pt>
                <c:pt idx="27">
                  <c:v>953474.94472000003</c:v>
                </c:pt>
                <c:pt idx="28">
                  <c:v>980141.53775999998</c:v>
                </c:pt>
                <c:pt idx="29">
                  <c:v>948885.59672000003</c:v>
                </c:pt>
                <c:pt idx="30">
                  <c:v>936237.75584</c:v>
                </c:pt>
                <c:pt idx="31">
                  <c:v>930094.97877999989</c:v>
                </c:pt>
                <c:pt idx="32">
                  <c:v>888621.85830000008</c:v>
                </c:pt>
                <c:pt idx="33">
                  <c:v>898402.12388000009</c:v>
                </c:pt>
                <c:pt idx="34">
                  <c:v>890219.88920000009</c:v>
                </c:pt>
                <c:pt idx="35">
                  <c:v>905316.10329999996</c:v>
                </c:pt>
                <c:pt idx="36">
                  <c:v>869792.21565999999</c:v>
                </c:pt>
                <c:pt idx="37">
                  <c:v>829015.69422000006</c:v>
                </c:pt>
                <c:pt idx="38">
                  <c:v>818609.15624000004</c:v>
                </c:pt>
                <c:pt idx="39">
                  <c:v>820313.68888000003</c:v>
                </c:pt>
                <c:pt idx="40">
                  <c:v>821540.61568000005</c:v>
                </c:pt>
                <c:pt idx="41">
                  <c:v>790216.30033999996</c:v>
                </c:pt>
                <c:pt idx="42">
                  <c:v>772298.03380000009</c:v>
                </c:pt>
                <c:pt idx="43">
                  <c:v>772298.03380000009</c:v>
                </c:pt>
                <c:pt idx="44">
                  <c:v>772298.03380000009</c:v>
                </c:pt>
                <c:pt idx="45">
                  <c:v>772298.03380000009</c:v>
                </c:pt>
                <c:pt idx="46">
                  <c:v>787238.81403999997</c:v>
                </c:pt>
                <c:pt idx="47">
                  <c:v>787141.06830000004</c:v>
                </c:pt>
                <c:pt idx="48">
                  <c:v>777227.80377999996</c:v>
                </c:pt>
                <c:pt idx="49">
                  <c:v>780678.56213999994</c:v>
                </c:pt>
                <c:pt idx="50">
                  <c:v>801287.11046</c:v>
                </c:pt>
                <c:pt idx="51">
                  <c:v>791958.59022000001</c:v>
                </c:pt>
                <c:pt idx="52">
                  <c:v>803841.48441999999</c:v>
                </c:pt>
                <c:pt idx="53">
                  <c:v>800811.92512000003</c:v>
                </c:pt>
                <c:pt idx="54">
                  <c:v>795395.46464000002</c:v>
                </c:pt>
                <c:pt idx="55">
                  <c:v>785358.43106000009</c:v>
                </c:pt>
                <c:pt idx="56">
                  <c:v>776294.22227999999</c:v>
                </c:pt>
                <c:pt idx="57">
                  <c:v>775968.05975999997</c:v>
                </c:pt>
                <c:pt idx="58">
                  <c:v>753935.13754000003</c:v>
                </c:pt>
                <c:pt idx="59">
                  <c:v>734644.31519999995</c:v>
                </c:pt>
                <c:pt idx="60">
                  <c:v>751561.60700000008</c:v>
                </c:pt>
                <c:pt idx="61">
                  <c:v>785975.35592</c:v>
                </c:pt>
                <c:pt idx="62">
                  <c:v>796881.34857999999</c:v>
                </c:pt>
                <c:pt idx="63">
                  <c:v>772529.62385999993</c:v>
                </c:pt>
                <c:pt idx="64">
                  <c:v>743795.57493999996</c:v>
                </c:pt>
                <c:pt idx="65">
                  <c:v>762013.98294000002</c:v>
                </c:pt>
                <c:pt idx="66">
                  <c:v>777047.60829999996</c:v>
                </c:pt>
                <c:pt idx="67">
                  <c:v>798743.67797999992</c:v>
                </c:pt>
                <c:pt idx="68">
                  <c:v>826379.45193999994</c:v>
                </c:pt>
                <c:pt idx="69">
                  <c:v>808151.01827999996</c:v>
                </c:pt>
                <c:pt idx="70">
                  <c:v>834079.83556000004</c:v>
                </c:pt>
                <c:pt idx="71">
                  <c:v>836033.59868000005</c:v>
                </c:pt>
                <c:pt idx="72">
                  <c:v>859832.28573999996</c:v>
                </c:pt>
                <c:pt idx="73">
                  <c:v>851603.73485999997</c:v>
                </c:pt>
                <c:pt idx="74">
                  <c:v>845768.46791999997</c:v>
                </c:pt>
                <c:pt idx="75">
                  <c:v>858209.11730000004</c:v>
                </c:pt>
                <c:pt idx="76">
                  <c:v>849884.85800000001</c:v>
                </c:pt>
                <c:pt idx="77">
                  <c:v>852419.07674000005</c:v>
                </c:pt>
                <c:pt idx="78">
                  <c:v>825091.93426000001</c:v>
                </c:pt>
                <c:pt idx="79">
                  <c:v>806896.81521999999</c:v>
                </c:pt>
                <c:pt idx="80">
                  <c:v>770435.32759999996</c:v>
                </c:pt>
                <c:pt idx="81">
                  <c:v>721391.96134000004</c:v>
                </c:pt>
                <c:pt idx="82">
                  <c:v>748065.71432000003</c:v>
                </c:pt>
                <c:pt idx="83">
                  <c:v>705422.88742000004</c:v>
                </c:pt>
                <c:pt idx="84">
                  <c:v>716020.03856000002</c:v>
                </c:pt>
                <c:pt idx="85">
                  <c:v>729969.32841999992</c:v>
                </c:pt>
                <c:pt idx="86">
                  <c:v>747692.90651999996</c:v>
                </c:pt>
                <c:pt idx="87">
                  <c:v>735300.98811999999</c:v>
                </c:pt>
                <c:pt idx="88">
                  <c:v>729774.90539999993</c:v>
                </c:pt>
                <c:pt idx="89">
                  <c:v>730094.37748000002</c:v>
                </c:pt>
                <c:pt idx="90">
                  <c:v>709754.35328000004</c:v>
                </c:pt>
                <c:pt idx="91">
                  <c:v>676818.22944000002</c:v>
                </c:pt>
                <c:pt idx="92">
                  <c:v>641976.32532000006</c:v>
                </c:pt>
                <c:pt idx="93">
                  <c:v>674685.91356000002</c:v>
                </c:pt>
                <c:pt idx="94">
                  <c:v>684338.60855999996</c:v>
                </c:pt>
                <c:pt idx="95">
                  <c:v>723388.43388000003</c:v>
                </c:pt>
                <c:pt idx="96">
                  <c:v>741295.40295999998</c:v>
                </c:pt>
                <c:pt idx="97">
                  <c:v>739722.18823999993</c:v>
                </c:pt>
                <c:pt idx="98">
                  <c:v>746348.02411999996</c:v>
                </c:pt>
                <c:pt idx="99">
                  <c:v>790655.73203999992</c:v>
                </c:pt>
                <c:pt idx="100">
                  <c:v>827157.27397999994</c:v>
                </c:pt>
                <c:pt idx="101">
                  <c:v>836520.00300000003</c:v>
                </c:pt>
                <c:pt idx="102">
                  <c:v>829285.30631999997</c:v>
                </c:pt>
                <c:pt idx="103">
                  <c:v>819465.27283999999</c:v>
                </c:pt>
                <c:pt idx="104">
                  <c:v>827292.24734</c:v>
                </c:pt>
                <c:pt idx="105">
                  <c:v>827955.57426000002</c:v>
                </c:pt>
                <c:pt idx="106">
                  <c:v>828589.15892000007</c:v>
                </c:pt>
                <c:pt idx="107">
                  <c:v>851255.49781999993</c:v>
                </c:pt>
                <c:pt idx="108">
                  <c:v>854563.62413999997</c:v>
                </c:pt>
                <c:pt idx="109">
                  <c:v>796016.28255999996</c:v>
                </c:pt>
                <c:pt idx="110">
                  <c:v>814174.31109999993</c:v>
                </c:pt>
                <c:pt idx="111">
                  <c:v>823786.83121999993</c:v>
                </c:pt>
                <c:pt idx="112">
                  <c:v>813929.85893999995</c:v>
                </c:pt>
                <c:pt idx="113">
                  <c:v>841816.62061999994</c:v>
                </c:pt>
                <c:pt idx="114">
                  <c:v>876970.4694399999</c:v>
                </c:pt>
                <c:pt idx="115">
                  <c:v>859857.47478000005</c:v>
                </c:pt>
                <c:pt idx="116">
                  <c:v>884800.78051999991</c:v>
                </c:pt>
                <c:pt idx="117">
                  <c:v>904295.05336000002</c:v>
                </c:pt>
                <c:pt idx="118">
                  <c:v>882158.01065999991</c:v>
                </c:pt>
                <c:pt idx="119">
                  <c:v>884318.22144000011</c:v>
                </c:pt>
                <c:pt idx="120">
                  <c:v>872820.85265999998</c:v>
                </c:pt>
                <c:pt idx="121">
                  <c:v>889676.80921999994</c:v>
                </c:pt>
                <c:pt idx="122">
                  <c:v>887696.06415999995</c:v>
                </c:pt>
                <c:pt idx="123">
                  <c:v>946945.04856000002</c:v>
                </c:pt>
                <c:pt idx="124">
                  <c:v>927228.38092000003</c:v>
                </c:pt>
                <c:pt idx="125">
                  <c:v>946328.69071999996</c:v>
                </c:pt>
                <c:pt idx="126">
                  <c:v>948260.20818000007</c:v>
                </c:pt>
                <c:pt idx="127">
                  <c:v>954957.09859999991</c:v>
                </c:pt>
                <c:pt idx="128">
                  <c:v>935842.52146000008</c:v>
                </c:pt>
                <c:pt idx="129">
                  <c:v>914442.5687200001</c:v>
                </c:pt>
                <c:pt idx="130">
                  <c:v>950563.79132000008</c:v>
                </c:pt>
                <c:pt idx="131">
                  <c:v>945217.39679999999</c:v>
                </c:pt>
                <c:pt idx="132">
                  <c:v>945916.9927200001</c:v>
                </c:pt>
                <c:pt idx="133">
                  <c:v>943724.41980000003</c:v>
                </c:pt>
                <c:pt idx="134">
                  <c:v>895332.85744000005</c:v>
                </c:pt>
                <c:pt idx="135">
                  <c:v>917818.85201999987</c:v>
                </c:pt>
                <c:pt idx="136">
                  <c:v>923660.26048000006</c:v>
                </c:pt>
                <c:pt idx="137">
                  <c:v>962165.94949999987</c:v>
                </c:pt>
                <c:pt idx="138">
                  <c:v>953331.87625999993</c:v>
                </c:pt>
                <c:pt idx="139">
                  <c:v>973598.59235999989</c:v>
                </c:pt>
                <c:pt idx="140">
                  <c:v>1015051.629</c:v>
                </c:pt>
                <c:pt idx="141">
                  <c:v>1026551.5124600001</c:v>
                </c:pt>
                <c:pt idx="142">
                  <c:v>1107382.0746599999</c:v>
                </c:pt>
                <c:pt idx="143">
                  <c:v>1054460.3875600002</c:v>
                </c:pt>
                <c:pt idx="144">
                  <c:v>1109864.2164</c:v>
                </c:pt>
                <c:pt idx="145">
                  <c:v>1178635.8734599999</c:v>
                </c:pt>
                <c:pt idx="146">
                  <c:v>1173642.98122</c:v>
                </c:pt>
                <c:pt idx="147">
                  <c:v>1250248.1081399999</c:v>
                </c:pt>
                <c:pt idx="148">
                  <c:v>1259256.1011999999</c:v>
                </c:pt>
                <c:pt idx="149">
                  <c:v>1265745.3147199999</c:v>
                </c:pt>
                <c:pt idx="150">
                  <c:v>1294207.3909800001</c:v>
                </c:pt>
                <c:pt idx="151">
                  <c:v>1287490.4758600001</c:v>
                </c:pt>
                <c:pt idx="152">
                  <c:v>1284078.3275599999</c:v>
                </c:pt>
                <c:pt idx="153">
                  <c:v>1282166.0055199999</c:v>
                </c:pt>
                <c:pt idx="154">
                  <c:v>1294596.03666</c:v>
                </c:pt>
                <c:pt idx="155">
                  <c:v>1302098.74342</c:v>
                </c:pt>
                <c:pt idx="156">
                  <c:v>1305826.61864</c:v>
                </c:pt>
                <c:pt idx="157">
                  <c:v>1301790.0675599999</c:v>
                </c:pt>
                <c:pt idx="158">
                  <c:v>1313363.2957200001</c:v>
                </c:pt>
                <c:pt idx="159">
                  <c:v>1295245.7432600001</c:v>
                </c:pt>
                <c:pt idx="160">
                  <c:v>1300823.6101800001</c:v>
                </c:pt>
                <c:pt idx="161">
                  <c:v>1312704.4982400001</c:v>
                </c:pt>
                <c:pt idx="162">
                  <c:v>1327245.3653000002</c:v>
                </c:pt>
                <c:pt idx="163">
                  <c:v>1362248.9932600001</c:v>
                </c:pt>
                <c:pt idx="164">
                  <c:v>1345306.5674399999</c:v>
                </c:pt>
                <c:pt idx="165">
                  <c:v>1345282.8255400001</c:v>
                </c:pt>
                <c:pt idx="166">
                  <c:v>1330825.0610799999</c:v>
                </c:pt>
                <c:pt idx="167">
                  <c:v>1307364.0824799999</c:v>
                </c:pt>
                <c:pt idx="168">
                  <c:v>1328258.7558599999</c:v>
                </c:pt>
                <c:pt idx="169">
                  <c:v>1360852.62934</c:v>
                </c:pt>
                <c:pt idx="170">
                  <c:v>1377417.94294</c:v>
                </c:pt>
                <c:pt idx="171">
                  <c:v>1306728.5547</c:v>
                </c:pt>
                <c:pt idx="172">
                  <c:v>1305109.6878</c:v>
                </c:pt>
                <c:pt idx="173">
                  <c:v>1340054.4572000001</c:v>
                </c:pt>
                <c:pt idx="174">
                  <c:v>1293949.6676999999</c:v>
                </c:pt>
                <c:pt idx="175">
                  <c:v>1259490.5193</c:v>
                </c:pt>
                <c:pt idx="176">
                  <c:v>1227199.88876</c:v>
                </c:pt>
                <c:pt idx="177">
                  <c:v>1235937.3898</c:v>
                </c:pt>
                <c:pt idx="178">
                  <c:v>1253917.61834</c:v>
                </c:pt>
                <c:pt idx="179">
                  <c:v>1199342.7914200001</c:v>
                </c:pt>
                <c:pt idx="180">
                  <c:v>1194114.5003599999</c:v>
                </c:pt>
                <c:pt idx="181">
                  <c:v>1217357.1280999999</c:v>
                </c:pt>
                <c:pt idx="182">
                  <c:v>1193249.1567600002</c:v>
                </c:pt>
                <c:pt idx="183">
                  <c:v>1226790.73758</c:v>
                </c:pt>
                <c:pt idx="184">
                  <c:v>1251609.5236599999</c:v>
                </c:pt>
                <c:pt idx="185">
                  <c:v>1233100.7971399999</c:v>
                </c:pt>
                <c:pt idx="186">
                  <c:v>1244307.07568</c:v>
                </c:pt>
                <c:pt idx="187">
                  <c:v>1221469.8867200001</c:v>
                </c:pt>
                <c:pt idx="188">
                  <c:v>1261728.6332800002</c:v>
                </c:pt>
                <c:pt idx="189">
                  <c:v>1211279.2806600002</c:v>
                </c:pt>
                <c:pt idx="190">
                  <c:v>1190110.43334</c:v>
                </c:pt>
                <c:pt idx="191">
                  <c:v>1110111.0076199998</c:v>
                </c:pt>
                <c:pt idx="192">
                  <c:v>1118491.8413</c:v>
                </c:pt>
                <c:pt idx="193">
                  <c:v>1097947.3324200001</c:v>
                </c:pt>
                <c:pt idx="194">
                  <c:v>1148913.2985</c:v>
                </c:pt>
                <c:pt idx="195">
                  <c:v>1103048.1217199999</c:v>
                </c:pt>
                <c:pt idx="196">
                  <c:v>1096317.6444599999</c:v>
                </c:pt>
                <c:pt idx="197">
                  <c:v>1138890.6053800001</c:v>
                </c:pt>
                <c:pt idx="198">
                  <c:v>1133605.95312</c:v>
                </c:pt>
                <c:pt idx="199">
                  <c:v>1145438.85726</c:v>
                </c:pt>
                <c:pt idx="200">
                  <c:v>1127937.9570800001</c:v>
                </c:pt>
                <c:pt idx="201">
                  <c:v>1135919.0085799999</c:v>
                </c:pt>
                <c:pt idx="202">
                  <c:v>1155596.58186</c:v>
                </c:pt>
                <c:pt idx="203">
                  <c:v>1163383.14096</c:v>
                </c:pt>
                <c:pt idx="204">
                  <c:v>1191176.0412399999</c:v>
                </c:pt>
                <c:pt idx="205">
                  <c:v>1222820.3942199999</c:v>
                </c:pt>
                <c:pt idx="206">
                  <c:v>1276374.0366199999</c:v>
                </c:pt>
                <c:pt idx="207">
                  <c:v>1277850.6427</c:v>
                </c:pt>
                <c:pt idx="208">
                  <c:v>1238300.1877000001</c:v>
                </c:pt>
                <c:pt idx="209">
                  <c:v>1267887.0801200001</c:v>
                </c:pt>
                <c:pt idx="210">
                  <c:v>1243484.6505200001</c:v>
                </c:pt>
                <c:pt idx="211">
                  <c:v>1285140.33736</c:v>
                </c:pt>
                <c:pt idx="212">
                  <c:v>1307061.9008599999</c:v>
                </c:pt>
                <c:pt idx="213">
                  <c:v>1257848.88314</c:v>
                </c:pt>
                <c:pt idx="214">
                  <c:v>1207298.95102</c:v>
                </c:pt>
                <c:pt idx="215">
                  <c:v>1219837.4256200001</c:v>
                </c:pt>
                <c:pt idx="216">
                  <c:v>1252015.64124</c:v>
                </c:pt>
                <c:pt idx="217">
                  <c:v>1267644.55418</c:v>
                </c:pt>
                <c:pt idx="218">
                  <c:v>1261030.5134999999</c:v>
                </c:pt>
                <c:pt idx="219">
                  <c:v>1272610.5056399999</c:v>
                </c:pt>
                <c:pt idx="220">
                  <c:v>1282014.0485200002</c:v>
                </c:pt>
                <c:pt idx="221">
                  <c:v>1285715.1457400001</c:v>
                </c:pt>
                <c:pt idx="222">
                  <c:v>1307629.9908</c:v>
                </c:pt>
                <c:pt idx="223">
                  <c:v>1250873.90124</c:v>
                </c:pt>
                <c:pt idx="224">
                  <c:v>1250472.0469200001</c:v>
                </c:pt>
                <c:pt idx="225">
                  <c:v>1247273.13372</c:v>
                </c:pt>
                <c:pt idx="226">
                  <c:v>1292369.2762800001</c:v>
                </c:pt>
                <c:pt idx="227">
                  <c:v>1267419.4068399998</c:v>
                </c:pt>
                <c:pt idx="228">
                  <c:v>1275920.2980200001</c:v>
                </c:pt>
                <c:pt idx="229">
                  <c:v>1273644.7993399999</c:v>
                </c:pt>
                <c:pt idx="230">
                  <c:v>1274736.7374199999</c:v>
                </c:pt>
                <c:pt idx="231">
                  <c:v>1272395.7610599999</c:v>
                </c:pt>
                <c:pt idx="232">
                  <c:v>1285939.5632200001</c:v>
                </c:pt>
                <c:pt idx="233">
                  <c:v>1339421.64068</c:v>
                </c:pt>
                <c:pt idx="234">
                  <c:v>1281474.2037200001</c:v>
                </c:pt>
                <c:pt idx="235">
                  <c:v>1262394.3363399999</c:v>
                </c:pt>
                <c:pt idx="236">
                  <c:v>1266606.0627000001</c:v>
                </c:pt>
                <c:pt idx="237">
                  <c:v>1253599.1376199999</c:v>
                </c:pt>
                <c:pt idx="238">
                  <c:v>1273958.05694</c:v>
                </c:pt>
                <c:pt idx="239">
                  <c:v>1288236.4690999999</c:v>
                </c:pt>
                <c:pt idx="240">
                  <c:v>1272767.9405200002</c:v>
                </c:pt>
                <c:pt idx="241">
                  <c:v>1266521.9162599999</c:v>
                </c:pt>
                <c:pt idx="242">
                  <c:v>1303583.3796599999</c:v>
                </c:pt>
                <c:pt idx="243">
                  <c:v>1312684.28676</c:v>
                </c:pt>
                <c:pt idx="244">
                  <c:v>1319370.14842</c:v>
                </c:pt>
                <c:pt idx="245">
                  <c:v>1352378.8821399999</c:v>
                </c:pt>
                <c:pt idx="246">
                  <c:v>1357779.1794</c:v>
                </c:pt>
                <c:pt idx="247">
                  <c:v>1333272.2404</c:v>
                </c:pt>
                <c:pt idx="248">
                  <c:v>1365480.965699998</c:v>
                </c:pt>
                <c:pt idx="249">
                  <c:v>1376924.7361999978</c:v>
                </c:pt>
                <c:pt idx="250">
                  <c:v>1381135.7897399981</c:v>
                </c:pt>
                <c:pt idx="251">
                  <c:v>1374668.0434399978</c:v>
                </c:pt>
                <c:pt idx="252">
                  <c:v>1347519.3660999979</c:v>
                </c:pt>
                <c:pt idx="253">
                  <c:v>1323333.855539998</c:v>
                </c:pt>
                <c:pt idx="254">
                  <c:v>1307321.1414399981</c:v>
                </c:pt>
                <c:pt idx="255">
                  <c:v>1336164.2158199982</c:v>
                </c:pt>
                <c:pt idx="256">
                  <c:v>1327002.191119998</c:v>
                </c:pt>
                <c:pt idx="257">
                  <c:v>1302756.6678999981</c:v>
                </c:pt>
                <c:pt idx="258">
                  <c:v>1324398.3151199981</c:v>
                </c:pt>
                <c:pt idx="259">
                  <c:v>1315853.2394399981</c:v>
                </c:pt>
                <c:pt idx="260">
                  <c:v>1350786.0496199981</c:v>
                </c:pt>
                <c:pt idx="261">
                  <c:v>1370694.8188799978</c:v>
                </c:pt>
                <c:pt idx="262">
                  <c:v>1387203.8237199981</c:v>
                </c:pt>
                <c:pt idx="263">
                  <c:v>1373179.8245199979</c:v>
                </c:pt>
                <c:pt idx="264">
                  <c:v>1398262.8250999979</c:v>
                </c:pt>
                <c:pt idx="265">
                  <c:v>1422443.459099998</c:v>
                </c:pt>
                <c:pt idx="266">
                  <c:v>1382603.4530599979</c:v>
                </c:pt>
                <c:pt idx="267">
                  <c:v>1384169.9513199979</c:v>
                </c:pt>
                <c:pt idx="268">
                  <c:v>1389607.1666999999</c:v>
                </c:pt>
                <c:pt idx="269">
                  <c:v>1383335.15674</c:v>
                </c:pt>
                <c:pt idx="270">
                  <c:v>1369560.1422799979</c:v>
                </c:pt>
                <c:pt idx="271">
                  <c:v>1349124.5920999979</c:v>
                </c:pt>
                <c:pt idx="272">
                  <c:v>1355664.190879998</c:v>
                </c:pt>
                <c:pt idx="273">
                  <c:v>1359426.859199998</c:v>
                </c:pt>
                <c:pt idx="274">
                  <c:v>1370080.2589599979</c:v>
                </c:pt>
                <c:pt idx="275">
                  <c:v>1360680.2731199979</c:v>
                </c:pt>
                <c:pt idx="276">
                  <c:v>1365977.580739998</c:v>
                </c:pt>
                <c:pt idx="277">
                  <c:v>1372604.833239998</c:v>
                </c:pt>
                <c:pt idx="278">
                  <c:v>1382553.1810199979</c:v>
                </c:pt>
                <c:pt idx="279">
                  <c:v>1370180.1390799999</c:v>
                </c:pt>
                <c:pt idx="280">
                  <c:v>1389888.6889399979</c:v>
                </c:pt>
                <c:pt idx="281">
                  <c:v>1390719.8204399999</c:v>
                </c:pt>
                <c:pt idx="282">
                  <c:v>1426080.5680399979</c:v>
                </c:pt>
                <c:pt idx="283">
                  <c:v>1399786.0084599999</c:v>
                </c:pt>
                <c:pt idx="284">
                  <c:v>1445649.1804599999</c:v>
                </c:pt>
                <c:pt idx="285">
                  <c:v>1445620.35246</c:v>
                </c:pt>
                <c:pt idx="286">
                  <c:v>1449822.9093800001</c:v>
                </c:pt>
                <c:pt idx="287">
                  <c:v>1407960.5139200001</c:v>
                </c:pt>
                <c:pt idx="288">
                  <c:v>1361117.4093200001</c:v>
                </c:pt>
                <c:pt idx="289">
                  <c:v>1341281.8786200001</c:v>
                </c:pt>
                <c:pt idx="290">
                  <c:v>1386795.1887000001</c:v>
                </c:pt>
                <c:pt idx="291">
                  <c:v>1374129.9168799999</c:v>
                </c:pt>
                <c:pt idx="292">
                  <c:v>1386302.1211999999</c:v>
                </c:pt>
                <c:pt idx="293">
                  <c:v>1409362.917179998</c:v>
                </c:pt>
                <c:pt idx="294">
                  <c:v>1405298.470599998</c:v>
                </c:pt>
                <c:pt idx="295">
                  <c:v>1410500.2599599981</c:v>
                </c:pt>
                <c:pt idx="296">
                  <c:v>1397297.290959998</c:v>
                </c:pt>
                <c:pt idx="297">
                  <c:v>1377584.1712999982</c:v>
                </c:pt>
                <c:pt idx="298">
                  <c:v>1366191.2494399981</c:v>
                </c:pt>
                <c:pt idx="299">
                  <c:v>1372325.51242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D-4297-A46A-235352BAFBCD}"/>
            </c:ext>
          </c:extLst>
        </c:ser>
        <c:ser>
          <c:idx val="4"/>
          <c:order val="4"/>
          <c:tx>
            <c:strRef>
              <c:f>创业板!$I$1</c:f>
              <c:strCache>
                <c:ptCount val="1"/>
                <c:pt idx="0">
                  <c:v>MLP_R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创业板!$I$2:$I$302</c:f>
              <c:numCache>
                <c:formatCode>General</c:formatCode>
                <c:ptCount val="301"/>
                <c:pt idx="0">
                  <c:v>1000000</c:v>
                </c:pt>
                <c:pt idx="1">
                  <c:v>1032217.46842</c:v>
                </c:pt>
                <c:pt idx="2">
                  <c:v>990203.72662000009</c:v>
                </c:pt>
                <c:pt idx="3">
                  <c:v>971833.71124000009</c:v>
                </c:pt>
                <c:pt idx="4">
                  <c:v>997071.20701999997</c:v>
                </c:pt>
                <c:pt idx="5">
                  <c:v>992189.56874000002</c:v>
                </c:pt>
                <c:pt idx="6">
                  <c:v>993512.27760000003</c:v>
                </c:pt>
                <c:pt idx="7">
                  <c:v>1011650.6354199999</c:v>
                </c:pt>
                <c:pt idx="8">
                  <c:v>998226.22326</c:v>
                </c:pt>
                <c:pt idx="9">
                  <c:v>1001344.2401599999</c:v>
                </c:pt>
                <c:pt idx="10">
                  <c:v>1003580.1394200001</c:v>
                </c:pt>
                <c:pt idx="11">
                  <c:v>981172.82227999996</c:v>
                </c:pt>
                <c:pt idx="12">
                  <c:v>968112.49326000013</c:v>
                </c:pt>
                <c:pt idx="13">
                  <c:v>951004.74399999995</c:v>
                </c:pt>
                <c:pt idx="14">
                  <c:v>964425.26260000002</c:v>
                </c:pt>
                <c:pt idx="15">
                  <c:v>1027732.72484</c:v>
                </c:pt>
                <c:pt idx="16">
                  <c:v>1004704.73858</c:v>
                </c:pt>
                <c:pt idx="17">
                  <c:v>1020302.8907</c:v>
                </c:pt>
                <c:pt idx="18">
                  <c:v>1002373.1892000001</c:v>
                </c:pt>
                <c:pt idx="19">
                  <c:v>969134.34937999991</c:v>
                </c:pt>
                <c:pt idx="20">
                  <c:v>958428.46392000001</c:v>
                </c:pt>
                <c:pt idx="21">
                  <c:v>960394.0708799999</c:v>
                </c:pt>
                <c:pt idx="22">
                  <c:v>946632.79653999989</c:v>
                </c:pt>
                <c:pt idx="23">
                  <c:v>994652.66542000009</c:v>
                </c:pt>
                <c:pt idx="24">
                  <c:v>963732.29284000001</c:v>
                </c:pt>
                <c:pt idx="25">
                  <c:v>983875.40275999997</c:v>
                </c:pt>
                <c:pt idx="26">
                  <c:v>962696.49499999988</c:v>
                </c:pt>
                <c:pt idx="27">
                  <c:v>966454.37432000006</c:v>
                </c:pt>
                <c:pt idx="28">
                  <c:v>1011814.38576</c:v>
                </c:pt>
                <c:pt idx="29">
                  <c:v>991632.00842000009</c:v>
                </c:pt>
                <c:pt idx="30">
                  <c:v>973907.04364000005</c:v>
                </c:pt>
                <c:pt idx="31">
                  <c:v>951865.18293999997</c:v>
                </c:pt>
                <c:pt idx="32">
                  <c:v>920676.6280400001</c:v>
                </c:pt>
                <c:pt idx="33">
                  <c:v>923771.8774</c:v>
                </c:pt>
                <c:pt idx="34">
                  <c:v>911618.70201999997</c:v>
                </c:pt>
                <c:pt idx="35">
                  <c:v>930259.04842000012</c:v>
                </c:pt>
                <c:pt idx="36">
                  <c:v>906481.68663999997</c:v>
                </c:pt>
                <c:pt idx="37">
                  <c:v>901734.52599999995</c:v>
                </c:pt>
                <c:pt idx="38">
                  <c:v>933359.62697999994</c:v>
                </c:pt>
                <c:pt idx="39">
                  <c:v>935588.20204000012</c:v>
                </c:pt>
                <c:pt idx="40">
                  <c:v>966937.85331999999</c:v>
                </c:pt>
                <c:pt idx="41">
                  <c:v>932997.51351999992</c:v>
                </c:pt>
                <c:pt idx="42">
                  <c:v>905522.35172000004</c:v>
                </c:pt>
                <c:pt idx="43">
                  <c:v>905522.35172000004</c:v>
                </c:pt>
                <c:pt idx="44">
                  <c:v>905522.35172000004</c:v>
                </c:pt>
                <c:pt idx="45">
                  <c:v>905522.35172000004</c:v>
                </c:pt>
                <c:pt idx="46">
                  <c:v>906629.73988000001</c:v>
                </c:pt>
                <c:pt idx="47">
                  <c:v>900111.98051999998</c:v>
                </c:pt>
                <c:pt idx="48">
                  <c:v>887837.35326</c:v>
                </c:pt>
                <c:pt idx="49">
                  <c:v>876224.46087999991</c:v>
                </c:pt>
                <c:pt idx="50">
                  <c:v>885010.19162000006</c:v>
                </c:pt>
                <c:pt idx="51">
                  <c:v>865656.91860000009</c:v>
                </c:pt>
                <c:pt idx="52">
                  <c:v>879481.43313999998</c:v>
                </c:pt>
                <c:pt idx="53">
                  <c:v>871851.62936000002</c:v>
                </c:pt>
                <c:pt idx="54">
                  <c:v>861345.49338000012</c:v>
                </c:pt>
                <c:pt idx="55">
                  <c:v>854465.64008000004</c:v>
                </c:pt>
                <c:pt idx="56">
                  <c:v>846750.50818000012</c:v>
                </c:pt>
                <c:pt idx="57">
                  <c:v>845205.95708000008</c:v>
                </c:pt>
                <c:pt idx="58">
                  <c:v>827448.81475999998</c:v>
                </c:pt>
                <c:pt idx="59">
                  <c:v>826966.19683999999</c:v>
                </c:pt>
                <c:pt idx="60">
                  <c:v>815459.38814000005</c:v>
                </c:pt>
                <c:pt idx="61">
                  <c:v>835531.93682000006</c:v>
                </c:pt>
                <c:pt idx="62">
                  <c:v>831568.05738000001</c:v>
                </c:pt>
                <c:pt idx="63">
                  <c:v>788163.92532000004</c:v>
                </c:pt>
                <c:pt idx="64">
                  <c:v>761376.36339999991</c:v>
                </c:pt>
                <c:pt idx="65">
                  <c:v>778068.59378</c:v>
                </c:pt>
                <c:pt idx="66">
                  <c:v>766976.52671999997</c:v>
                </c:pt>
                <c:pt idx="67">
                  <c:v>793455.34607999993</c:v>
                </c:pt>
                <c:pt idx="68">
                  <c:v>814451.76273999992</c:v>
                </c:pt>
                <c:pt idx="69">
                  <c:v>775627.76225999999</c:v>
                </c:pt>
                <c:pt idx="70">
                  <c:v>756756.25360000005</c:v>
                </c:pt>
                <c:pt idx="71">
                  <c:v>774492.26368000009</c:v>
                </c:pt>
                <c:pt idx="72">
                  <c:v>768998.03948000004</c:v>
                </c:pt>
                <c:pt idx="73">
                  <c:v>772043.23153999995</c:v>
                </c:pt>
                <c:pt idx="74">
                  <c:v>772033.56226000004</c:v>
                </c:pt>
                <c:pt idx="75">
                  <c:v>786494.60045999999</c:v>
                </c:pt>
                <c:pt idx="76">
                  <c:v>777264.80443999998</c:v>
                </c:pt>
                <c:pt idx="77">
                  <c:v>782285.95026000007</c:v>
                </c:pt>
                <c:pt idx="78">
                  <c:v>785346.56242000009</c:v>
                </c:pt>
                <c:pt idx="79">
                  <c:v>771806.04729999998</c:v>
                </c:pt>
                <c:pt idx="80">
                  <c:v>742624.60112000001</c:v>
                </c:pt>
                <c:pt idx="81">
                  <c:v>695381.91683999996</c:v>
                </c:pt>
                <c:pt idx="82">
                  <c:v>712595.09291999997</c:v>
                </c:pt>
                <c:pt idx="83">
                  <c:v>688866.06533999997</c:v>
                </c:pt>
                <c:pt idx="84">
                  <c:v>716573.31238000002</c:v>
                </c:pt>
                <c:pt idx="85">
                  <c:v>701753.00931999995</c:v>
                </c:pt>
                <c:pt idx="86">
                  <c:v>707770.69938000001</c:v>
                </c:pt>
                <c:pt idx="87">
                  <c:v>704951.84545999998</c:v>
                </c:pt>
                <c:pt idx="88">
                  <c:v>688065.58817999996</c:v>
                </c:pt>
                <c:pt idx="89">
                  <c:v>671232.94813999999</c:v>
                </c:pt>
                <c:pt idx="90">
                  <c:v>667857.71146000002</c:v>
                </c:pt>
                <c:pt idx="91">
                  <c:v>591160.21143999998</c:v>
                </c:pt>
                <c:pt idx="92">
                  <c:v>568887.70744000003</c:v>
                </c:pt>
                <c:pt idx="93">
                  <c:v>605733.57021999999</c:v>
                </c:pt>
                <c:pt idx="94">
                  <c:v>582258.95756000001</c:v>
                </c:pt>
                <c:pt idx="95">
                  <c:v>613745.03823999991</c:v>
                </c:pt>
                <c:pt idx="96">
                  <c:v>619217.20757999993</c:v>
                </c:pt>
                <c:pt idx="97">
                  <c:v>621624.36470000003</c:v>
                </c:pt>
                <c:pt idx="98">
                  <c:v>616117.39413999999</c:v>
                </c:pt>
                <c:pt idx="99">
                  <c:v>637406.35969999793</c:v>
                </c:pt>
                <c:pt idx="100">
                  <c:v>670970.35677999794</c:v>
                </c:pt>
                <c:pt idx="101">
                  <c:v>675407.29529999802</c:v>
                </c:pt>
                <c:pt idx="102">
                  <c:v>671889.35965999798</c:v>
                </c:pt>
                <c:pt idx="103">
                  <c:v>662743.80735999998</c:v>
                </c:pt>
                <c:pt idx="104">
                  <c:v>671283.54628000001</c:v>
                </c:pt>
                <c:pt idx="105">
                  <c:v>665984.95810000005</c:v>
                </c:pt>
                <c:pt idx="106">
                  <c:v>662568.21613999992</c:v>
                </c:pt>
                <c:pt idx="107">
                  <c:v>677485.73595999996</c:v>
                </c:pt>
                <c:pt idx="108">
                  <c:v>677035.39269999997</c:v>
                </c:pt>
                <c:pt idx="109">
                  <c:v>648908.83753999998</c:v>
                </c:pt>
                <c:pt idx="110">
                  <c:v>650848.54096000001</c:v>
                </c:pt>
                <c:pt idx="111">
                  <c:v>660758.12571999803</c:v>
                </c:pt>
                <c:pt idx="112">
                  <c:v>635635.315019998</c:v>
                </c:pt>
                <c:pt idx="113">
                  <c:v>648060.43339999998</c:v>
                </c:pt>
                <c:pt idx="114">
                  <c:v>655899.17004</c:v>
                </c:pt>
                <c:pt idx="115">
                  <c:v>653796.18553999998</c:v>
                </c:pt>
                <c:pt idx="116">
                  <c:v>679299.62485999998</c:v>
                </c:pt>
                <c:pt idx="117">
                  <c:v>687623.78423999797</c:v>
                </c:pt>
                <c:pt idx="118">
                  <c:v>680104.38315999799</c:v>
                </c:pt>
                <c:pt idx="119">
                  <c:v>678382.09471999796</c:v>
                </c:pt>
                <c:pt idx="120">
                  <c:v>654753.89577999804</c:v>
                </c:pt>
                <c:pt idx="121">
                  <c:v>669755.95469999802</c:v>
                </c:pt>
                <c:pt idx="122">
                  <c:v>667160.48281999794</c:v>
                </c:pt>
                <c:pt idx="123">
                  <c:v>688000.47455999791</c:v>
                </c:pt>
                <c:pt idx="124">
                  <c:v>681037.90023999801</c:v>
                </c:pt>
                <c:pt idx="125">
                  <c:v>696269.80083999806</c:v>
                </c:pt>
                <c:pt idx="126">
                  <c:v>711839.16243999801</c:v>
                </c:pt>
                <c:pt idx="127">
                  <c:v>735828.54059999797</c:v>
                </c:pt>
                <c:pt idx="128">
                  <c:v>734001.68545999797</c:v>
                </c:pt>
                <c:pt idx="129">
                  <c:v>726609.08931999805</c:v>
                </c:pt>
                <c:pt idx="130">
                  <c:v>759228.67881999793</c:v>
                </c:pt>
                <c:pt idx="131">
                  <c:v>765522.76021999796</c:v>
                </c:pt>
                <c:pt idx="132">
                  <c:v>779102.81919999805</c:v>
                </c:pt>
                <c:pt idx="133">
                  <c:v>778862.22501999803</c:v>
                </c:pt>
                <c:pt idx="134">
                  <c:v>774513.74853999796</c:v>
                </c:pt>
                <c:pt idx="135">
                  <c:v>772556.45893999806</c:v>
                </c:pt>
                <c:pt idx="136">
                  <c:v>788041.59601999796</c:v>
                </c:pt>
                <c:pt idx="137">
                  <c:v>802652.21079999802</c:v>
                </c:pt>
                <c:pt idx="138">
                  <c:v>790758.29577999806</c:v>
                </c:pt>
                <c:pt idx="139">
                  <c:v>811503.07375999796</c:v>
                </c:pt>
                <c:pt idx="140">
                  <c:v>811414.02619999798</c:v>
                </c:pt>
                <c:pt idx="141">
                  <c:v>814629.805219998</c:v>
                </c:pt>
                <c:pt idx="142">
                  <c:v>840750.67791999807</c:v>
                </c:pt>
                <c:pt idx="143">
                  <c:v>804185.64575999801</c:v>
                </c:pt>
                <c:pt idx="144">
                  <c:v>809956.28797999793</c:v>
                </c:pt>
                <c:pt idx="145">
                  <c:v>827975.55349999794</c:v>
                </c:pt>
                <c:pt idx="146">
                  <c:v>825154.78119999799</c:v>
                </c:pt>
                <c:pt idx="147">
                  <c:v>858791.70701999799</c:v>
                </c:pt>
                <c:pt idx="148">
                  <c:v>844729.93497999792</c:v>
                </c:pt>
                <c:pt idx="149">
                  <c:v>894736.39365999796</c:v>
                </c:pt>
                <c:pt idx="150">
                  <c:v>900467.88143999805</c:v>
                </c:pt>
                <c:pt idx="151">
                  <c:v>893175.76557999791</c:v>
                </c:pt>
                <c:pt idx="152">
                  <c:v>882714.86905999796</c:v>
                </c:pt>
                <c:pt idx="153">
                  <c:v>888106.86215999792</c:v>
                </c:pt>
                <c:pt idx="154">
                  <c:v>915334.11827999796</c:v>
                </c:pt>
                <c:pt idx="155">
                  <c:v>928703.516539998</c:v>
                </c:pt>
                <c:pt idx="156">
                  <c:v>911219.39295999799</c:v>
                </c:pt>
                <c:pt idx="157">
                  <c:v>913855.93465999793</c:v>
                </c:pt>
                <c:pt idx="158">
                  <c:v>888014.31335999793</c:v>
                </c:pt>
                <c:pt idx="159">
                  <c:v>883377.97183999792</c:v>
                </c:pt>
                <c:pt idx="160">
                  <c:v>890514.42369999795</c:v>
                </c:pt>
                <c:pt idx="161">
                  <c:v>886231.07621999795</c:v>
                </c:pt>
                <c:pt idx="162">
                  <c:v>877892.41987999808</c:v>
                </c:pt>
                <c:pt idx="163">
                  <c:v>859919.33095999807</c:v>
                </c:pt>
                <c:pt idx="164">
                  <c:v>852364.29209999798</c:v>
                </c:pt>
                <c:pt idx="165">
                  <c:v>868263.21817999799</c:v>
                </c:pt>
                <c:pt idx="166">
                  <c:v>841958.126479998</c:v>
                </c:pt>
                <c:pt idx="167">
                  <c:v>837102.90787999798</c:v>
                </c:pt>
                <c:pt idx="168">
                  <c:v>849265.67099999799</c:v>
                </c:pt>
                <c:pt idx="169">
                  <c:v>856019.75779999793</c:v>
                </c:pt>
                <c:pt idx="170">
                  <c:v>860975.49557999801</c:v>
                </c:pt>
                <c:pt idx="171">
                  <c:v>844780.21267999802</c:v>
                </c:pt>
                <c:pt idx="172">
                  <c:v>874205.01413999801</c:v>
                </c:pt>
                <c:pt idx="173">
                  <c:v>865353.16613999789</c:v>
                </c:pt>
                <c:pt idx="174">
                  <c:v>830691.680479998</c:v>
                </c:pt>
                <c:pt idx="175">
                  <c:v>841660.75851999805</c:v>
                </c:pt>
                <c:pt idx="176">
                  <c:v>854582.84079999791</c:v>
                </c:pt>
                <c:pt idx="177">
                  <c:v>933982.31623999798</c:v>
                </c:pt>
                <c:pt idx="178">
                  <c:v>934945.381219998</c:v>
                </c:pt>
                <c:pt idx="179">
                  <c:v>909466.68973999808</c:v>
                </c:pt>
                <c:pt idx="180">
                  <c:v>893896.29555999802</c:v>
                </c:pt>
                <c:pt idx="181">
                  <c:v>886163.71105999802</c:v>
                </c:pt>
                <c:pt idx="182">
                  <c:v>882209.3926999981</c:v>
                </c:pt>
                <c:pt idx="183">
                  <c:v>880197.32087999803</c:v>
                </c:pt>
                <c:pt idx="184">
                  <c:v>904845.49853999796</c:v>
                </c:pt>
                <c:pt idx="185">
                  <c:v>884286.00873999798</c:v>
                </c:pt>
                <c:pt idx="186">
                  <c:v>888762.31103999796</c:v>
                </c:pt>
                <c:pt idx="187">
                  <c:v>869649.21535999794</c:v>
                </c:pt>
                <c:pt idx="188">
                  <c:v>893270.57423999789</c:v>
                </c:pt>
                <c:pt idx="189">
                  <c:v>849476.23375999799</c:v>
                </c:pt>
                <c:pt idx="190">
                  <c:v>833195.67837999796</c:v>
                </c:pt>
                <c:pt idx="191">
                  <c:v>806142.605779998</c:v>
                </c:pt>
                <c:pt idx="192">
                  <c:v>811853.05935999798</c:v>
                </c:pt>
                <c:pt idx="193">
                  <c:v>797001.43507999799</c:v>
                </c:pt>
                <c:pt idx="194">
                  <c:v>828088.30725999805</c:v>
                </c:pt>
                <c:pt idx="195">
                  <c:v>788117.063459998</c:v>
                </c:pt>
                <c:pt idx="196">
                  <c:v>788786.10185999796</c:v>
                </c:pt>
                <c:pt idx="197">
                  <c:v>806812.24519999803</c:v>
                </c:pt>
                <c:pt idx="198">
                  <c:v>774902.55479999795</c:v>
                </c:pt>
                <c:pt idx="199">
                  <c:v>780874.63847999799</c:v>
                </c:pt>
                <c:pt idx="200">
                  <c:v>762093.92743999802</c:v>
                </c:pt>
                <c:pt idx="201">
                  <c:v>767471.53987999796</c:v>
                </c:pt>
                <c:pt idx="202">
                  <c:v>805337.05519999797</c:v>
                </c:pt>
                <c:pt idx="203">
                  <c:v>825023.45419999794</c:v>
                </c:pt>
                <c:pt idx="204">
                  <c:v>850777.40939999803</c:v>
                </c:pt>
                <c:pt idx="205">
                  <c:v>863749.32931999804</c:v>
                </c:pt>
                <c:pt idx="206">
                  <c:v>875195.673339998</c:v>
                </c:pt>
                <c:pt idx="207">
                  <c:v>876493.77105999796</c:v>
                </c:pt>
                <c:pt idx="208">
                  <c:v>860590.88125999796</c:v>
                </c:pt>
                <c:pt idx="209">
                  <c:v>863993.72263999807</c:v>
                </c:pt>
                <c:pt idx="210">
                  <c:v>890285.51237999799</c:v>
                </c:pt>
                <c:pt idx="211">
                  <c:v>897498.73209999804</c:v>
                </c:pt>
                <c:pt idx="212">
                  <c:v>927825.68617999798</c:v>
                </c:pt>
                <c:pt idx="213">
                  <c:v>918479.50297999789</c:v>
                </c:pt>
                <c:pt idx="214">
                  <c:v>889516.99595999788</c:v>
                </c:pt>
                <c:pt idx="215">
                  <c:v>907933.9576799979</c:v>
                </c:pt>
                <c:pt idx="216">
                  <c:v>941491.64887999801</c:v>
                </c:pt>
                <c:pt idx="217">
                  <c:v>930867.26703999809</c:v>
                </c:pt>
                <c:pt idx="218">
                  <c:v>934019.87677999795</c:v>
                </c:pt>
                <c:pt idx="219">
                  <c:v>955737.91867999802</c:v>
                </c:pt>
                <c:pt idx="220">
                  <c:v>946162.55567999801</c:v>
                </c:pt>
                <c:pt idx="221">
                  <c:v>944526.07227999787</c:v>
                </c:pt>
                <c:pt idx="222">
                  <c:v>965835.13435999805</c:v>
                </c:pt>
                <c:pt idx="223">
                  <c:v>947943.20383999799</c:v>
                </c:pt>
                <c:pt idx="224">
                  <c:v>925792.55963999801</c:v>
                </c:pt>
                <c:pt idx="225">
                  <c:v>906529.71463999804</c:v>
                </c:pt>
                <c:pt idx="226">
                  <c:v>933434.66395999806</c:v>
                </c:pt>
                <c:pt idx="227">
                  <c:v>906175.84447999799</c:v>
                </c:pt>
                <c:pt idx="228">
                  <c:v>913005.25253999792</c:v>
                </c:pt>
                <c:pt idx="229">
                  <c:v>911334.56785999797</c:v>
                </c:pt>
                <c:pt idx="230">
                  <c:v>943099.38501999807</c:v>
                </c:pt>
                <c:pt idx="231">
                  <c:v>912036.24451999797</c:v>
                </c:pt>
                <c:pt idx="232">
                  <c:v>930931.59131999803</c:v>
                </c:pt>
                <c:pt idx="233">
                  <c:v>962917.22243999806</c:v>
                </c:pt>
                <c:pt idx="234">
                  <c:v>921266.0942999979</c:v>
                </c:pt>
                <c:pt idx="235">
                  <c:v>938352.28637999797</c:v>
                </c:pt>
                <c:pt idx="236">
                  <c:v>957946.605779998</c:v>
                </c:pt>
                <c:pt idx="237">
                  <c:v>936021.42313999799</c:v>
                </c:pt>
                <c:pt idx="238">
                  <c:v>940363.30849999806</c:v>
                </c:pt>
                <c:pt idx="239">
                  <c:v>950920.43613999803</c:v>
                </c:pt>
                <c:pt idx="240">
                  <c:v>932349.93413999805</c:v>
                </c:pt>
                <c:pt idx="241">
                  <c:v>927777.20055999793</c:v>
                </c:pt>
                <c:pt idx="242">
                  <c:v>949674.75071999803</c:v>
                </c:pt>
                <c:pt idx="243">
                  <c:v>956297.86695999803</c:v>
                </c:pt>
                <c:pt idx="244">
                  <c:v>961152.4141799981</c:v>
                </c:pt>
                <c:pt idx="245">
                  <c:v>974827.49463999795</c:v>
                </c:pt>
                <c:pt idx="246">
                  <c:v>976110.22851999791</c:v>
                </c:pt>
                <c:pt idx="247">
                  <c:v>972847.66441999807</c:v>
                </c:pt>
                <c:pt idx="248">
                  <c:v>961249.05323999806</c:v>
                </c:pt>
                <c:pt idx="249">
                  <c:v>969310.69427999796</c:v>
                </c:pt>
                <c:pt idx="250">
                  <c:v>966395.58897999802</c:v>
                </c:pt>
                <c:pt idx="251">
                  <c:v>957034.51955999807</c:v>
                </c:pt>
                <c:pt idx="252">
                  <c:v>938160.71743999794</c:v>
                </c:pt>
                <c:pt idx="253">
                  <c:v>921331.10091999802</c:v>
                </c:pt>
                <c:pt idx="254">
                  <c:v>910233.32065999811</c:v>
                </c:pt>
                <c:pt idx="255">
                  <c:v>952573.74533999804</c:v>
                </c:pt>
                <c:pt idx="256">
                  <c:v>951238.78513999807</c:v>
                </c:pt>
                <c:pt idx="257">
                  <c:v>935538.98859999795</c:v>
                </c:pt>
                <c:pt idx="258">
                  <c:v>948873.29439999792</c:v>
                </c:pt>
                <c:pt idx="259">
                  <c:v>940272.59495999792</c:v>
                </c:pt>
                <c:pt idx="260">
                  <c:v>978127.17663999798</c:v>
                </c:pt>
                <c:pt idx="261">
                  <c:v>978632.69139999803</c:v>
                </c:pt>
                <c:pt idx="262">
                  <c:v>990415.95575999806</c:v>
                </c:pt>
                <c:pt idx="263">
                  <c:v>965158.19445999805</c:v>
                </c:pt>
                <c:pt idx="264">
                  <c:v>1009013.828899998</c:v>
                </c:pt>
                <c:pt idx="265">
                  <c:v>1026466.0448599979</c:v>
                </c:pt>
                <c:pt idx="266">
                  <c:v>997739.73275999795</c:v>
                </c:pt>
                <c:pt idx="267">
                  <c:v>1016121.9053799979</c:v>
                </c:pt>
                <c:pt idx="268">
                  <c:v>1025735.684219998</c:v>
                </c:pt>
                <c:pt idx="269">
                  <c:v>1027742.998759998</c:v>
                </c:pt>
                <c:pt idx="270">
                  <c:v>1011818.825599998</c:v>
                </c:pt>
                <c:pt idx="271">
                  <c:v>981485.558659998</c:v>
                </c:pt>
                <c:pt idx="272">
                  <c:v>990084.49145999795</c:v>
                </c:pt>
                <c:pt idx="273">
                  <c:v>983549.76659999811</c:v>
                </c:pt>
                <c:pt idx="274">
                  <c:v>998178.68503999803</c:v>
                </c:pt>
                <c:pt idx="275">
                  <c:v>995600.34875999799</c:v>
                </c:pt>
                <c:pt idx="276">
                  <c:v>999733.64571999793</c:v>
                </c:pt>
                <c:pt idx="277">
                  <c:v>1017370.518359998</c:v>
                </c:pt>
                <c:pt idx="278">
                  <c:v>1033087.804199998</c:v>
                </c:pt>
                <c:pt idx="279">
                  <c:v>1041037.021379998</c:v>
                </c:pt>
                <c:pt idx="280">
                  <c:v>1035307.430959998</c:v>
                </c:pt>
                <c:pt idx="281">
                  <c:v>1021107.1213799979</c:v>
                </c:pt>
                <c:pt idx="282">
                  <c:v>1047056.671819998</c:v>
                </c:pt>
                <c:pt idx="283">
                  <c:v>1027757.264699998</c:v>
                </c:pt>
                <c:pt idx="284">
                  <c:v>1053322.5554999979</c:v>
                </c:pt>
                <c:pt idx="285">
                  <c:v>1061412.919499998</c:v>
                </c:pt>
                <c:pt idx="286">
                  <c:v>1064459.1486999979</c:v>
                </c:pt>
                <c:pt idx="287">
                  <c:v>1024883.4569399981</c:v>
                </c:pt>
                <c:pt idx="288">
                  <c:v>985167.62157999794</c:v>
                </c:pt>
                <c:pt idx="289">
                  <c:v>970834.49957999797</c:v>
                </c:pt>
                <c:pt idx="290">
                  <c:v>987344.53399999789</c:v>
                </c:pt>
                <c:pt idx="291">
                  <c:v>978036.47107999807</c:v>
                </c:pt>
                <c:pt idx="292">
                  <c:v>980340.50833999796</c:v>
                </c:pt>
                <c:pt idx="293">
                  <c:v>996682.35345999803</c:v>
                </c:pt>
                <c:pt idx="294">
                  <c:v>981453.82399999793</c:v>
                </c:pt>
                <c:pt idx="295">
                  <c:v>988987.59669999802</c:v>
                </c:pt>
                <c:pt idx="296">
                  <c:v>1011576.402719998</c:v>
                </c:pt>
                <c:pt idx="297">
                  <c:v>1063232.5075199981</c:v>
                </c:pt>
                <c:pt idx="298">
                  <c:v>1050549.699219998</c:v>
                </c:pt>
                <c:pt idx="299">
                  <c:v>1067442.2189999982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9D-4297-A46A-235352BAFBCD}"/>
            </c:ext>
          </c:extLst>
        </c:ser>
        <c:ser>
          <c:idx val="5"/>
          <c:order val="5"/>
          <c:tx>
            <c:strRef>
              <c:f>创业板!$J$1</c:f>
              <c:strCache>
                <c:ptCount val="1"/>
                <c:pt idx="0">
                  <c:v>SVM_R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创业板!$J$2:$J$302</c:f>
              <c:numCache>
                <c:formatCode>General</c:formatCode>
                <c:ptCount val="301"/>
                <c:pt idx="0">
                  <c:v>1000000</c:v>
                </c:pt>
                <c:pt idx="1">
                  <c:v>1012512.25228</c:v>
                </c:pt>
                <c:pt idx="2">
                  <c:v>971089.78509999998</c:v>
                </c:pt>
                <c:pt idx="3">
                  <c:v>994588.83753999998</c:v>
                </c:pt>
                <c:pt idx="4">
                  <c:v>1014897.7659199979</c:v>
                </c:pt>
                <c:pt idx="5">
                  <c:v>1008666.609599998</c:v>
                </c:pt>
                <c:pt idx="6">
                  <c:v>1010010.6098999981</c:v>
                </c:pt>
                <c:pt idx="7">
                  <c:v>1041371.8993599979</c:v>
                </c:pt>
                <c:pt idx="8">
                  <c:v>1027295.6984999981</c:v>
                </c:pt>
                <c:pt idx="9">
                  <c:v>983298.09497999796</c:v>
                </c:pt>
                <c:pt idx="10">
                  <c:v>1004585.715439998</c:v>
                </c:pt>
                <c:pt idx="11">
                  <c:v>1031463.920699998</c:v>
                </c:pt>
                <c:pt idx="12">
                  <c:v>1011506.76754</c:v>
                </c:pt>
                <c:pt idx="13">
                  <c:v>995717.97160000005</c:v>
                </c:pt>
                <c:pt idx="14">
                  <c:v>1013224.69794</c:v>
                </c:pt>
                <c:pt idx="15">
                  <c:v>1022694.3032</c:v>
                </c:pt>
                <c:pt idx="16">
                  <c:v>1017979.07458</c:v>
                </c:pt>
                <c:pt idx="17">
                  <c:v>1012196.1735799999</c:v>
                </c:pt>
                <c:pt idx="18">
                  <c:v>1010261.3549200001</c:v>
                </c:pt>
                <c:pt idx="19">
                  <c:v>963599.53870000003</c:v>
                </c:pt>
                <c:pt idx="20">
                  <c:v>951360.35940000007</c:v>
                </c:pt>
                <c:pt idx="21">
                  <c:v>936884.92830000003</c:v>
                </c:pt>
                <c:pt idx="22">
                  <c:v>914480.96581999992</c:v>
                </c:pt>
                <c:pt idx="23">
                  <c:v>950823.44692000002</c:v>
                </c:pt>
                <c:pt idx="24">
                  <c:v>914657.10177999991</c:v>
                </c:pt>
                <c:pt idx="25">
                  <c:v>911515.49235999992</c:v>
                </c:pt>
                <c:pt idx="26">
                  <c:v>891209.92655999993</c:v>
                </c:pt>
                <c:pt idx="27">
                  <c:v>920260.82065999997</c:v>
                </c:pt>
                <c:pt idx="28">
                  <c:v>926572.08628000005</c:v>
                </c:pt>
                <c:pt idx="29">
                  <c:v>913193.87060000002</c:v>
                </c:pt>
                <c:pt idx="30">
                  <c:v>905253.82023999805</c:v>
                </c:pt>
                <c:pt idx="31">
                  <c:v>869964.53833999799</c:v>
                </c:pt>
                <c:pt idx="32">
                  <c:v>861853.76453999802</c:v>
                </c:pt>
                <c:pt idx="33">
                  <c:v>886235.85237999796</c:v>
                </c:pt>
                <c:pt idx="34">
                  <c:v>873870.881219998</c:v>
                </c:pt>
                <c:pt idx="35">
                  <c:v>882270.71173999796</c:v>
                </c:pt>
                <c:pt idx="36">
                  <c:v>860858.99409999792</c:v>
                </c:pt>
                <c:pt idx="37">
                  <c:v>837987.84913999797</c:v>
                </c:pt>
                <c:pt idx="38">
                  <c:v>849891.93563999794</c:v>
                </c:pt>
                <c:pt idx="39">
                  <c:v>829273.03299999796</c:v>
                </c:pt>
                <c:pt idx="40">
                  <c:v>834986.21695999801</c:v>
                </c:pt>
                <c:pt idx="41">
                  <c:v>823418.85391999804</c:v>
                </c:pt>
                <c:pt idx="42">
                  <c:v>799496.72693999799</c:v>
                </c:pt>
                <c:pt idx="43">
                  <c:v>799496.72693999799</c:v>
                </c:pt>
                <c:pt idx="44">
                  <c:v>799496.72693999799</c:v>
                </c:pt>
                <c:pt idx="45">
                  <c:v>799496.72693999799</c:v>
                </c:pt>
                <c:pt idx="46">
                  <c:v>799436.53445999802</c:v>
                </c:pt>
                <c:pt idx="47">
                  <c:v>793672.71071999799</c:v>
                </c:pt>
                <c:pt idx="48">
                  <c:v>782934.19635999796</c:v>
                </c:pt>
                <c:pt idx="49">
                  <c:v>790207.39793999994</c:v>
                </c:pt>
                <c:pt idx="50">
                  <c:v>831048.62015999795</c:v>
                </c:pt>
                <c:pt idx="51">
                  <c:v>816453.58879999793</c:v>
                </c:pt>
                <c:pt idx="52">
                  <c:v>821613.85885999794</c:v>
                </c:pt>
                <c:pt idx="53">
                  <c:v>820430.98045999999</c:v>
                </c:pt>
                <c:pt idx="54">
                  <c:v>823216.99312</c:v>
                </c:pt>
                <c:pt idx="55">
                  <c:v>799468.73641999997</c:v>
                </c:pt>
                <c:pt idx="56">
                  <c:v>788251.95345999999</c:v>
                </c:pt>
                <c:pt idx="57">
                  <c:v>786057.64014000003</c:v>
                </c:pt>
                <c:pt idx="58">
                  <c:v>755538.45964000002</c:v>
                </c:pt>
                <c:pt idx="59">
                  <c:v>735238.63274000003</c:v>
                </c:pt>
                <c:pt idx="60">
                  <c:v>739358.31146</c:v>
                </c:pt>
                <c:pt idx="61">
                  <c:v>761038.50364000001</c:v>
                </c:pt>
                <c:pt idx="62">
                  <c:v>778965.00762000005</c:v>
                </c:pt>
                <c:pt idx="63">
                  <c:v>760970.50482000003</c:v>
                </c:pt>
                <c:pt idx="64">
                  <c:v>746188.93492000003</c:v>
                </c:pt>
                <c:pt idx="65">
                  <c:v>776184.26662000001</c:v>
                </c:pt>
                <c:pt idx="66">
                  <c:v>777403.84264000005</c:v>
                </c:pt>
                <c:pt idx="67">
                  <c:v>770828.97441999998</c:v>
                </c:pt>
                <c:pt idx="68">
                  <c:v>799006.56163999997</c:v>
                </c:pt>
                <c:pt idx="69">
                  <c:v>793251.90998</c:v>
                </c:pt>
                <c:pt idx="70">
                  <c:v>825675.66896000004</c:v>
                </c:pt>
                <c:pt idx="71">
                  <c:v>818173.90883999993</c:v>
                </c:pt>
                <c:pt idx="72">
                  <c:v>800596.18469999998</c:v>
                </c:pt>
                <c:pt idx="73">
                  <c:v>799778.03962000005</c:v>
                </c:pt>
                <c:pt idx="74">
                  <c:v>770429.04466000001</c:v>
                </c:pt>
                <c:pt idx="75">
                  <c:v>782465.93163999997</c:v>
                </c:pt>
                <c:pt idx="76">
                  <c:v>779103.63208000001</c:v>
                </c:pt>
                <c:pt idx="77">
                  <c:v>770224.23613999994</c:v>
                </c:pt>
                <c:pt idx="78">
                  <c:v>762845.00676000002</c:v>
                </c:pt>
                <c:pt idx="79">
                  <c:v>735338.07779999997</c:v>
                </c:pt>
                <c:pt idx="80">
                  <c:v>708053.74517999997</c:v>
                </c:pt>
                <c:pt idx="81">
                  <c:v>661356.95285999996</c:v>
                </c:pt>
                <c:pt idx="82">
                  <c:v>664731.32868000004</c:v>
                </c:pt>
                <c:pt idx="83">
                  <c:v>654503.01368000009</c:v>
                </c:pt>
                <c:pt idx="84">
                  <c:v>648629.83676000009</c:v>
                </c:pt>
                <c:pt idx="85">
                  <c:v>655995.91317999992</c:v>
                </c:pt>
                <c:pt idx="86">
                  <c:v>667006.50691999996</c:v>
                </c:pt>
                <c:pt idx="87">
                  <c:v>648200.69099999999</c:v>
                </c:pt>
                <c:pt idx="88">
                  <c:v>645885.06596000004</c:v>
                </c:pt>
                <c:pt idx="89">
                  <c:v>609781.34820000001</c:v>
                </c:pt>
                <c:pt idx="90">
                  <c:v>584858.25283999997</c:v>
                </c:pt>
                <c:pt idx="91">
                  <c:v>564486.64676000003</c:v>
                </c:pt>
                <c:pt idx="92">
                  <c:v>549797.30266000004</c:v>
                </c:pt>
                <c:pt idx="93">
                  <c:v>567877.32357999997</c:v>
                </c:pt>
                <c:pt idx="94">
                  <c:v>537313.02233999991</c:v>
                </c:pt>
                <c:pt idx="95">
                  <c:v>566633.53656000004</c:v>
                </c:pt>
                <c:pt idx="96">
                  <c:v>567160.27486</c:v>
                </c:pt>
                <c:pt idx="97">
                  <c:v>557407.84456</c:v>
                </c:pt>
                <c:pt idx="98">
                  <c:v>562160.88234000001</c:v>
                </c:pt>
                <c:pt idx="99">
                  <c:v>578999.69787999999</c:v>
                </c:pt>
                <c:pt idx="100">
                  <c:v>610276.10653999995</c:v>
                </c:pt>
                <c:pt idx="101">
                  <c:v>608466.05802</c:v>
                </c:pt>
                <c:pt idx="102">
                  <c:v>602921.95517999993</c:v>
                </c:pt>
                <c:pt idx="103">
                  <c:v>591033.10733999999</c:v>
                </c:pt>
                <c:pt idx="104">
                  <c:v>604963.37926000007</c:v>
                </c:pt>
                <c:pt idx="105">
                  <c:v>595390.51487999992</c:v>
                </c:pt>
                <c:pt idx="106">
                  <c:v>584200.41645999998</c:v>
                </c:pt>
                <c:pt idx="107">
                  <c:v>594729.97362000006</c:v>
                </c:pt>
                <c:pt idx="108">
                  <c:v>589243.25135999999</c:v>
                </c:pt>
                <c:pt idx="109">
                  <c:v>554560.93897999998</c:v>
                </c:pt>
                <c:pt idx="110">
                  <c:v>567156.20020000008</c:v>
                </c:pt>
                <c:pt idx="111">
                  <c:v>576386.49579999992</c:v>
                </c:pt>
                <c:pt idx="112">
                  <c:v>569618.43486000004</c:v>
                </c:pt>
                <c:pt idx="113">
                  <c:v>569863.46169999999</c:v>
                </c:pt>
                <c:pt idx="114">
                  <c:v>584232.02989999996</c:v>
                </c:pt>
                <c:pt idx="115">
                  <c:v>577757.95270000002</c:v>
                </c:pt>
                <c:pt idx="116">
                  <c:v>608050.07747999998</c:v>
                </c:pt>
                <c:pt idx="117">
                  <c:v>620193.21328000003</c:v>
                </c:pt>
                <c:pt idx="118">
                  <c:v>609517.90360000008</c:v>
                </c:pt>
                <c:pt idx="119">
                  <c:v>602275.74806000001</c:v>
                </c:pt>
                <c:pt idx="120">
                  <c:v>596321.68651999999</c:v>
                </c:pt>
                <c:pt idx="121">
                  <c:v>605896.71889999998</c:v>
                </c:pt>
                <c:pt idx="122">
                  <c:v>620571.04982000007</c:v>
                </c:pt>
                <c:pt idx="123">
                  <c:v>618900.44643999997</c:v>
                </c:pt>
                <c:pt idx="124">
                  <c:v>610503.81648000004</c:v>
                </c:pt>
                <c:pt idx="125">
                  <c:v>628075.35384</c:v>
                </c:pt>
                <c:pt idx="126">
                  <c:v>638430.95548</c:v>
                </c:pt>
                <c:pt idx="127">
                  <c:v>655256.26601999998</c:v>
                </c:pt>
                <c:pt idx="128">
                  <c:v>645127.09336000006</c:v>
                </c:pt>
                <c:pt idx="129">
                  <c:v>639084.87312</c:v>
                </c:pt>
                <c:pt idx="130">
                  <c:v>662438.21964000002</c:v>
                </c:pt>
                <c:pt idx="131">
                  <c:v>676013.62344</c:v>
                </c:pt>
                <c:pt idx="132">
                  <c:v>699505.96019999997</c:v>
                </c:pt>
                <c:pt idx="133">
                  <c:v>695092.41188000003</c:v>
                </c:pt>
                <c:pt idx="134">
                  <c:v>674254.26755999995</c:v>
                </c:pt>
                <c:pt idx="135">
                  <c:v>695681.67296</c:v>
                </c:pt>
                <c:pt idx="136">
                  <c:v>683518.30793999997</c:v>
                </c:pt>
                <c:pt idx="137">
                  <c:v>705307.55948000005</c:v>
                </c:pt>
                <c:pt idx="138">
                  <c:v>685609.62786000001</c:v>
                </c:pt>
                <c:pt idx="139">
                  <c:v>685220.72973999998</c:v>
                </c:pt>
                <c:pt idx="140">
                  <c:v>705957.93817999994</c:v>
                </c:pt>
                <c:pt idx="141">
                  <c:v>716386.57026000007</c:v>
                </c:pt>
                <c:pt idx="142">
                  <c:v>748324.47419999994</c:v>
                </c:pt>
                <c:pt idx="143">
                  <c:v>731614.78618000005</c:v>
                </c:pt>
                <c:pt idx="144">
                  <c:v>744499.96522000001</c:v>
                </c:pt>
                <c:pt idx="145">
                  <c:v>760533.54874</c:v>
                </c:pt>
                <c:pt idx="146">
                  <c:v>746883.81084000005</c:v>
                </c:pt>
                <c:pt idx="147">
                  <c:v>762281.85127999994</c:v>
                </c:pt>
                <c:pt idx="148">
                  <c:v>766577.84305999998</c:v>
                </c:pt>
                <c:pt idx="149">
                  <c:v>765935.92333999998</c:v>
                </c:pt>
                <c:pt idx="150">
                  <c:v>766070.79310000001</c:v>
                </c:pt>
                <c:pt idx="151">
                  <c:v>757708.15867999999</c:v>
                </c:pt>
                <c:pt idx="152">
                  <c:v>756542.52445999999</c:v>
                </c:pt>
                <c:pt idx="153">
                  <c:v>774379.1642</c:v>
                </c:pt>
                <c:pt idx="154">
                  <c:v>783844.16664000007</c:v>
                </c:pt>
                <c:pt idx="155">
                  <c:v>795088.18317999993</c:v>
                </c:pt>
                <c:pt idx="156">
                  <c:v>779962.18594</c:v>
                </c:pt>
                <c:pt idx="157">
                  <c:v>805836.87161999999</c:v>
                </c:pt>
                <c:pt idx="158">
                  <c:v>787537.52211999998</c:v>
                </c:pt>
                <c:pt idx="159">
                  <c:v>776969.97931999795</c:v>
                </c:pt>
                <c:pt idx="160">
                  <c:v>779370.47541999794</c:v>
                </c:pt>
                <c:pt idx="161">
                  <c:v>791983.83293999801</c:v>
                </c:pt>
                <c:pt idx="162">
                  <c:v>790269.82893999794</c:v>
                </c:pt>
                <c:pt idx="163">
                  <c:v>793492.07261999801</c:v>
                </c:pt>
                <c:pt idx="164">
                  <c:v>803732.51077999803</c:v>
                </c:pt>
                <c:pt idx="165">
                  <c:v>800884.34335999796</c:v>
                </c:pt>
                <c:pt idx="166">
                  <c:v>801007.19339999801</c:v>
                </c:pt>
                <c:pt idx="167">
                  <c:v>816961.72711999796</c:v>
                </c:pt>
                <c:pt idx="168">
                  <c:v>795478.52295999799</c:v>
                </c:pt>
                <c:pt idx="169">
                  <c:v>789460.57207999798</c:v>
                </c:pt>
                <c:pt idx="170">
                  <c:v>787043.07401999808</c:v>
                </c:pt>
                <c:pt idx="171">
                  <c:v>791006.821119998</c:v>
                </c:pt>
                <c:pt idx="172">
                  <c:v>808190.87723999796</c:v>
                </c:pt>
                <c:pt idx="173">
                  <c:v>785521.95339999802</c:v>
                </c:pt>
                <c:pt idx="174">
                  <c:v>762980.55467999796</c:v>
                </c:pt>
                <c:pt idx="175">
                  <c:v>747968.94623999798</c:v>
                </c:pt>
                <c:pt idx="176">
                  <c:v>743827.59731999808</c:v>
                </c:pt>
                <c:pt idx="177">
                  <c:v>777045.718119998</c:v>
                </c:pt>
                <c:pt idx="178">
                  <c:v>785059.67491999804</c:v>
                </c:pt>
                <c:pt idx="179">
                  <c:v>765711.56459999806</c:v>
                </c:pt>
                <c:pt idx="180">
                  <c:v>770763.40483999799</c:v>
                </c:pt>
                <c:pt idx="181">
                  <c:v>760911.82309999806</c:v>
                </c:pt>
                <c:pt idx="182">
                  <c:v>738352.93289999804</c:v>
                </c:pt>
                <c:pt idx="183">
                  <c:v>747010.97985999798</c:v>
                </c:pt>
                <c:pt idx="184">
                  <c:v>764434.372199998</c:v>
                </c:pt>
                <c:pt idx="185">
                  <c:v>746009.74971999798</c:v>
                </c:pt>
                <c:pt idx="186">
                  <c:v>739645.00401999801</c:v>
                </c:pt>
                <c:pt idx="187">
                  <c:v>724798.52329999802</c:v>
                </c:pt>
                <c:pt idx="188">
                  <c:v>750877.32487999799</c:v>
                </c:pt>
                <c:pt idx="189">
                  <c:v>728133.94979999796</c:v>
                </c:pt>
                <c:pt idx="190">
                  <c:v>713268.62395999802</c:v>
                </c:pt>
                <c:pt idx="191">
                  <c:v>650332.53755999799</c:v>
                </c:pt>
                <c:pt idx="192">
                  <c:v>668711.33043999807</c:v>
                </c:pt>
                <c:pt idx="193">
                  <c:v>633042.56103999796</c:v>
                </c:pt>
                <c:pt idx="194">
                  <c:v>657676.88193999801</c:v>
                </c:pt>
                <c:pt idx="195">
                  <c:v>618865.56173999805</c:v>
                </c:pt>
                <c:pt idx="196">
                  <c:v>608900.30665999802</c:v>
                </c:pt>
                <c:pt idx="197">
                  <c:v>635069.587279998</c:v>
                </c:pt>
                <c:pt idx="198">
                  <c:v>610351.36867999798</c:v>
                </c:pt>
                <c:pt idx="199">
                  <c:v>605407.306579998</c:v>
                </c:pt>
                <c:pt idx="200">
                  <c:v>582071.19129999797</c:v>
                </c:pt>
                <c:pt idx="201">
                  <c:v>586109.41971999803</c:v>
                </c:pt>
                <c:pt idx="202">
                  <c:v>615807.04013999808</c:v>
                </c:pt>
                <c:pt idx="203">
                  <c:v>632009.14773999795</c:v>
                </c:pt>
                <c:pt idx="204">
                  <c:v>642832.09451999806</c:v>
                </c:pt>
                <c:pt idx="205">
                  <c:v>649661.07529999805</c:v>
                </c:pt>
                <c:pt idx="206">
                  <c:v>665138.15923999797</c:v>
                </c:pt>
                <c:pt idx="207">
                  <c:v>669089.09551999799</c:v>
                </c:pt>
                <c:pt idx="208">
                  <c:v>648433.91747999797</c:v>
                </c:pt>
                <c:pt idx="209">
                  <c:v>654038.50979999802</c:v>
                </c:pt>
                <c:pt idx="210">
                  <c:v>641489.41391999798</c:v>
                </c:pt>
                <c:pt idx="211">
                  <c:v>645089.04511999805</c:v>
                </c:pt>
                <c:pt idx="212">
                  <c:v>657420.86899999797</c:v>
                </c:pt>
                <c:pt idx="213">
                  <c:v>651138.59141999797</c:v>
                </c:pt>
                <c:pt idx="214">
                  <c:v>620098.91519999807</c:v>
                </c:pt>
                <c:pt idx="215">
                  <c:v>621799.86647999799</c:v>
                </c:pt>
                <c:pt idx="216">
                  <c:v>641515.549639998</c:v>
                </c:pt>
                <c:pt idx="217">
                  <c:v>660166.53641999804</c:v>
                </c:pt>
                <c:pt idx="218">
                  <c:v>650460.79295999801</c:v>
                </c:pt>
                <c:pt idx="219">
                  <c:v>651572.97281999805</c:v>
                </c:pt>
                <c:pt idx="220">
                  <c:v>644580.824039998</c:v>
                </c:pt>
                <c:pt idx="221">
                  <c:v>639785.25451999798</c:v>
                </c:pt>
                <c:pt idx="222">
                  <c:v>654827.22459999798</c:v>
                </c:pt>
                <c:pt idx="223">
                  <c:v>630758.15181999805</c:v>
                </c:pt>
                <c:pt idx="224">
                  <c:v>626644.76791999792</c:v>
                </c:pt>
                <c:pt idx="225">
                  <c:v>626907.94251999795</c:v>
                </c:pt>
                <c:pt idx="226">
                  <c:v>644559.27943999809</c:v>
                </c:pt>
                <c:pt idx="227">
                  <c:v>622348.70719999797</c:v>
                </c:pt>
                <c:pt idx="228">
                  <c:v>630650.41993999796</c:v>
                </c:pt>
                <c:pt idx="229">
                  <c:v>629529.62969999795</c:v>
                </c:pt>
                <c:pt idx="230">
                  <c:v>644277.43509999802</c:v>
                </c:pt>
                <c:pt idx="231">
                  <c:v>631309.59033999802</c:v>
                </c:pt>
                <c:pt idx="232">
                  <c:v>624483.34917999804</c:v>
                </c:pt>
                <c:pt idx="233">
                  <c:v>624132.00049999799</c:v>
                </c:pt>
                <c:pt idx="234">
                  <c:v>597166.05193999805</c:v>
                </c:pt>
                <c:pt idx="235">
                  <c:v>605767.37967999803</c:v>
                </c:pt>
                <c:pt idx="236">
                  <c:v>607789.59403999802</c:v>
                </c:pt>
                <c:pt idx="237">
                  <c:v>601246.42499999807</c:v>
                </c:pt>
                <c:pt idx="238">
                  <c:v>603375.82195999799</c:v>
                </c:pt>
                <c:pt idx="239">
                  <c:v>610094.98173999798</c:v>
                </c:pt>
                <c:pt idx="240">
                  <c:v>618883.43215999799</c:v>
                </c:pt>
                <c:pt idx="241">
                  <c:v>615844.46193999797</c:v>
                </c:pt>
                <c:pt idx="242">
                  <c:v>612522.35115999798</c:v>
                </c:pt>
                <c:pt idx="243">
                  <c:v>616793.22445999808</c:v>
                </c:pt>
                <c:pt idx="244">
                  <c:v>619917.460139998</c:v>
                </c:pt>
                <c:pt idx="245">
                  <c:v>630653.56391999801</c:v>
                </c:pt>
                <c:pt idx="246">
                  <c:v>633169.54263999802</c:v>
                </c:pt>
                <c:pt idx="247">
                  <c:v>618436.49951999797</c:v>
                </c:pt>
                <c:pt idx="248">
                  <c:v>610099.16693999805</c:v>
                </c:pt>
                <c:pt idx="249">
                  <c:v>615213.08265999798</c:v>
                </c:pt>
                <c:pt idx="250">
                  <c:v>612967.06667999807</c:v>
                </c:pt>
                <c:pt idx="251">
                  <c:v>605364.05589999794</c:v>
                </c:pt>
                <c:pt idx="252">
                  <c:v>593435.341239998</c:v>
                </c:pt>
                <c:pt idx="253">
                  <c:v>582783.70719999797</c:v>
                </c:pt>
                <c:pt idx="254">
                  <c:v>575760.09127999796</c:v>
                </c:pt>
                <c:pt idx="255">
                  <c:v>616036.36257999798</c:v>
                </c:pt>
                <c:pt idx="256">
                  <c:v>614043.10951999796</c:v>
                </c:pt>
                <c:pt idx="257">
                  <c:v>609692.41615999793</c:v>
                </c:pt>
                <c:pt idx="258">
                  <c:v>609576.95787999802</c:v>
                </c:pt>
                <c:pt idx="259">
                  <c:v>604838.70027999801</c:v>
                </c:pt>
                <c:pt idx="260">
                  <c:v>620888.26731999801</c:v>
                </c:pt>
                <c:pt idx="261">
                  <c:v>630009.29149999795</c:v>
                </c:pt>
                <c:pt idx="262">
                  <c:v>637589.72317999799</c:v>
                </c:pt>
                <c:pt idx="263">
                  <c:v>627886.63701999804</c:v>
                </c:pt>
                <c:pt idx="264">
                  <c:v>641552.266279998</c:v>
                </c:pt>
                <c:pt idx="265">
                  <c:v>652910.15371999796</c:v>
                </c:pt>
                <c:pt idx="266">
                  <c:v>634639.45863999799</c:v>
                </c:pt>
                <c:pt idx="267">
                  <c:v>633337.62479999801</c:v>
                </c:pt>
                <c:pt idx="268">
                  <c:v>637026.138359998</c:v>
                </c:pt>
                <c:pt idx="269">
                  <c:v>632145.05527999799</c:v>
                </c:pt>
                <c:pt idx="270">
                  <c:v>627842.24859999795</c:v>
                </c:pt>
                <c:pt idx="271">
                  <c:v>626803.52259999805</c:v>
                </c:pt>
                <c:pt idx="272">
                  <c:v>626891.92981999798</c:v>
                </c:pt>
                <c:pt idx="273">
                  <c:v>623098.96897999803</c:v>
                </c:pt>
                <c:pt idx="274">
                  <c:v>631921.929179998</c:v>
                </c:pt>
                <c:pt idx="275">
                  <c:v>620165.80473999796</c:v>
                </c:pt>
                <c:pt idx="276">
                  <c:v>623562.00437999796</c:v>
                </c:pt>
                <c:pt idx="277">
                  <c:v>620936.63281999796</c:v>
                </c:pt>
                <c:pt idx="278">
                  <c:v>611318.94529999804</c:v>
                </c:pt>
                <c:pt idx="279">
                  <c:v>618590.39885999798</c:v>
                </c:pt>
                <c:pt idx="280">
                  <c:v>622175.25509999809</c:v>
                </c:pt>
                <c:pt idx="281">
                  <c:v>614180.83747999801</c:v>
                </c:pt>
                <c:pt idx="282">
                  <c:v>628767.06583999796</c:v>
                </c:pt>
                <c:pt idx="283">
                  <c:v>617181.59171999793</c:v>
                </c:pt>
                <c:pt idx="284">
                  <c:v>631667.84801999794</c:v>
                </c:pt>
                <c:pt idx="285">
                  <c:v>640878.44099999801</c:v>
                </c:pt>
                <c:pt idx="286">
                  <c:v>642792.35605999804</c:v>
                </c:pt>
                <c:pt idx="287">
                  <c:v>627264.33795999805</c:v>
                </c:pt>
                <c:pt idx="288">
                  <c:v>606442.82597999799</c:v>
                </c:pt>
                <c:pt idx="289">
                  <c:v>597696.147899998</c:v>
                </c:pt>
                <c:pt idx="290">
                  <c:v>606560.724219998</c:v>
                </c:pt>
                <c:pt idx="291">
                  <c:v>600845.35969999793</c:v>
                </c:pt>
                <c:pt idx="292">
                  <c:v>606166.54873999802</c:v>
                </c:pt>
                <c:pt idx="293">
                  <c:v>616188.089099998</c:v>
                </c:pt>
                <c:pt idx="294">
                  <c:v>606809.48371999804</c:v>
                </c:pt>
                <c:pt idx="295">
                  <c:v>605976.25031999801</c:v>
                </c:pt>
                <c:pt idx="296">
                  <c:v>621313.32661999797</c:v>
                </c:pt>
                <c:pt idx="297">
                  <c:v>628722.16203999799</c:v>
                </c:pt>
                <c:pt idx="298">
                  <c:v>617813.46849999798</c:v>
                </c:pt>
                <c:pt idx="299">
                  <c:v>627753.73515999806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9D-4297-A46A-235352BAFBCD}"/>
            </c:ext>
          </c:extLst>
        </c:ser>
        <c:ser>
          <c:idx val="6"/>
          <c:order val="6"/>
          <c:tx>
            <c:strRef>
              <c:f>创业板!$K$1</c:f>
              <c:strCache>
                <c:ptCount val="1"/>
                <c:pt idx="0">
                  <c:v>XGBoost_R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创业板!$K$2:$K$302</c:f>
              <c:numCache>
                <c:formatCode>General</c:formatCode>
                <c:ptCount val="301"/>
                <c:pt idx="0">
                  <c:v>1000000</c:v>
                </c:pt>
                <c:pt idx="1">
                  <c:v>1035267.2040200001</c:v>
                </c:pt>
                <c:pt idx="2">
                  <c:v>992753.65044</c:v>
                </c:pt>
                <c:pt idx="3">
                  <c:v>964584.73758000007</c:v>
                </c:pt>
                <c:pt idx="4">
                  <c:v>954655.88916000002</c:v>
                </c:pt>
                <c:pt idx="5">
                  <c:v>941357.18955999799</c:v>
                </c:pt>
                <c:pt idx="6">
                  <c:v>942598.040419998</c:v>
                </c:pt>
                <c:pt idx="7">
                  <c:v>954510.00083999801</c:v>
                </c:pt>
                <c:pt idx="8">
                  <c:v>941358.27449999994</c:v>
                </c:pt>
                <c:pt idx="9">
                  <c:v>944934.99924000003</c:v>
                </c:pt>
                <c:pt idx="10">
                  <c:v>960167.47792000009</c:v>
                </c:pt>
                <c:pt idx="11">
                  <c:v>961022.56943999999</c:v>
                </c:pt>
                <c:pt idx="12">
                  <c:v>934934.91317999992</c:v>
                </c:pt>
                <c:pt idx="13">
                  <c:v>930292.20015999989</c:v>
                </c:pt>
                <c:pt idx="14">
                  <c:v>945729.50457999797</c:v>
                </c:pt>
                <c:pt idx="15">
                  <c:v>962897.24293999805</c:v>
                </c:pt>
                <c:pt idx="16">
                  <c:v>964534.6386399999</c:v>
                </c:pt>
                <c:pt idx="17">
                  <c:v>986863.31831999996</c:v>
                </c:pt>
                <c:pt idx="18">
                  <c:v>954356.78793999995</c:v>
                </c:pt>
                <c:pt idx="19">
                  <c:v>916756.87907999998</c:v>
                </c:pt>
                <c:pt idx="20">
                  <c:v>880303.39164000005</c:v>
                </c:pt>
                <c:pt idx="21">
                  <c:v>874903.04367999989</c:v>
                </c:pt>
                <c:pt idx="22">
                  <c:v>862897.50784000009</c:v>
                </c:pt>
                <c:pt idx="23">
                  <c:v>893688.42634000001</c:v>
                </c:pt>
                <c:pt idx="24">
                  <c:v>878257.15324000013</c:v>
                </c:pt>
                <c:pt idx="25">
                  <c:v>893104.9216</c:v>
                </c:pt>
                <c:pt idx="26">
                  <c:v>892327.7011399999</c:v>
                </c:pt>
                <c:pt idx="27">
                  <c:v>919688.72207999998</c:v>
                </c:pt>
                <c:pt idx="28">
                  <c:v>954802.85852000001</c:v>
                </c:pt>
                <c:pt idx="29">
                  <c:v>929936.23758000007</c:v>
                </c:pt>
                <c:pt idx="30">
                  <c:v>957671.69445999991</c:v>
                </c:pt>
                <c:pt idx="31">
                  <c:v>936067.31804000004</c:v>
                </c:pt>
                <c:pt idx="32">
                  <c:v>926229.50338000001</c:v>
                </c:pt>
                <c:pt idx="33">
                  <c:v>924488.0969</c:v>
                </c:pt>
                <c:pt idx="34">
                  <c:v>912141.53518000001</c:v>
                </c:pt>
                <c:pt idx="35">
                  <c:v>927566.87633999996</c:v>
                </c:pt>
                <c:pt idx="36">
                  <c:v>894981.31412</c:v>
                </c:pt>
                <c:pt idx="37">
                  <c:v>908136.79115999991</c:v>
                </c:pt>
                <c:pt idx="38">
                  <c:v>902069.79306000005</c:v>
                </c:pt>
                <c:pt idx="39">
                  <c:v>884519.82105999999</c:v>
                </c:pt>
                <c:pt idx="40">
                  <c:v>890230.94802000001</c:v>
                </c:pt>
                <c:pt idx="41">
                  <c:v>869510.84338000009</c:v>
                </c:pt>
                <c:pt idx="42">
                  <c:v>842188.96368000004</c:v>
                </c:pt>
                <c:pt idx="43">
                  <c:v>842188.96368000004</c:v>
                </c:pt>
                <c:pt idx="44">
                  <c:v>842188.96368000004</c:v>
                </c:pt>
                <c:pt idx="45">
                  <c:v>842188.96368000004</c:v>
                </c:pt>
                <c:pt idx="46">
                  <c:v>849404.38575999998</c:v>
                </c:pt>
                <c:pt idx="47">
                  <c:v>831422.19524000003</c:v>
                </c:pt>
                <c:pt idx="48">
                  <c:v>831318.22939999995</c:v>
                </c:pt>
                <c:pt idx="49">
                  <c:v>833882.30398000008</c:v>
                </c:pt>
                <c:pt idx="50">
                  <c:v>885228.24585999991</c:v>
                </c:pt>
                <c:pt idx="51">
                  <c:v>864365.56568</c:v>
                </c:pt>
                <c:pt idx="52">
                  <c:v>875557.98690000013</c:v>
                </c:pt>
                <c:pt idx="53">
                  <c:v>872900.26974000002</c:v>
                </c:pt>
                <c:pt idx="54">
                  <c:v>862913.11923999991</c:v>
                </c:pt>
                <c:pt idx="55">
                  <c:v>827696.64119999995</c:v>
                </c:pt>
                <c:pt idx="56">
                  <c:v>809189.28162000002</c:v>
                </c:pt>
                <c:pt idx="57">
                  <c:v>804844.89786000003</c:v>
                </c:pt>
                <c:pt idx="58">
                  <c:v>786425.25393999997</c:v>
                </c:pt>
                <c:pt idx="59">
                  <c:v>750098.30871999997</c:v>
                </c:pt>
                <c:pt idx="60">
                  <c:v>774178.05104000005</c:v>
                </c:pt>
                <c:pt idx="61">
                  <c:v>797937.94362000003</c:v>
                </c:pt>
                <c:pt idx="62">
                  <c:v>794924.46524000005</c:v>
                </c:pt>
                <c:pt idx="63">
                  <c:v>762219.38803999999</c:v>
                </c:pt>
                <c:pt idx="64">
                  <c:v>722392.38390000002</c:v>
                </c:pt>
                <c:pt idx="65">
                  <c:v>736073.67460000003</c:v>
                </c:pt>
                <c:pt idx="66">
                  <c:v>724428.28197999997</c:v>
                </c:pt>
                <c:pt idx="67">
                  <c:v>736482.38559999992</c:v>
                </c:pt>
                <c:pt idx="68">
                  <c:v>755544.83973999997</c:v>
                </c:pt>
                <c:pt idx="69">
                  <c:v>749341.01579999994</c:v>
                </c:pt>
                <c:pt idx="70">
                  <c:v>774729.64012</c:v>
                </c:pt>
                <c:pt idx="71">
                  <c:v>783596.57205999992</c:v>
                </c:pt>
                <c:pt idx="72">
                  <c:v>783992.32354000001</c:v>
                </c:pt>
                <c:pt idx="73">
                  <c:v>770406.07233999996</c:v>
                </c:pt>
                <c:pt idx="74">
                  <c:v>761401.41853999998</c:v>
                </c:pt>
                <c:pt idx="75">
                  <c:v>779569.43541999999</c:v>
                </c:pt>
                <c:pt idx="76">
                  <c:v>777788.13827999996</c:v>
                </c:pt>
                <c:pt idx="77">
                  <c:v>806723.29827999999</c:v>
                </c:pt>
                <c:pt idx="78">
                  <c:v>790204.47448000009</c:v>
                </c:pt>
                <c:pt idx="79">
                  <c:v>772063.13300000003</c:v>
                </c:pt>
                <c:pt idx="80">
                  <c:v>729137.81673999992</c:v>
                </c:pt>
                <c:pt idx="81">
                  <c:v>683252.05687999993</c:v>
                </c:pt>
                <c:pt idx="82">
                  <c:v>690704.59138</c:v>
                </c:pt>
                <c:pt idx="83">
                  <c:v>674120.74349999998</c:v>
                </c:pt>
                <c:pt idx="84">
                  <c:v>680824.86982000002</c:v>
                </c:pt>
                <c:pt idx="85">
                  <c:v>657958.83305999998</c:v>
                </c:pt>
                <c:pt idx="86">
                  <c:v>655757.98846000002</c:v>
                </c:pt>
                <c:pt idx="87">
                  <c:v>656042.76931999996</c:v>
                </c:pt>
                <c:pt idx="88">
                  <c:v>655788.51407999999</c:v>
                </c:pt>
                <c:pt idx="89">
                  <c:v>653046.71244000003</c:v>
                </c:pt>
                <c:pt idx="90">
                  <c:v>621727.82721999998</c:v>
                </c:pt>
                <c:pt idx="91">
                  <c:v>571497.44797999994</c:v>
                </c:pt>
                <c:pt idx="92">
                  <c:v>568563.84166000003</c:v>
                </c:pt>
                <c:pt idx="93">
                  <c:v>584648.93870000006</c:v>
                </c:pt>
                <c:pt idx="94">
                  <c:v>588640.25845999992</c:v>
                </c:pt>
                <c:pt idx="95">
                  <c:v>630568.83548000001</c:v>
                </c:pt>
                <c:pt idx="96">
                  <c:v>635713.55443999998</c:v>
                </c:pt>
                <c:pt idx="97">
                  <c:v>624887.66210000007</c:v>
                </c:pt>
                <c:pt idx="98">
                  <c:v>628766.69135999994</c:v>
                </c:pt>
                <c:pt idx="99">
                  <c:v>654004.91189999995</c:v>
                </c:pt>
                <c:pt idx="100">
                  <c:v>653519.28936000005</c:v>
                </c:pt>
                <c:pt idx="101">
                  <c:v>639759.46862000006</c:v>
                </c:pt>
                <c:pt idx="102">
                  <c:v>636767.17545999994</c:v>
                </c:pt>
                <c:pt idx="103">
                  <c:v>622850.92164000007</c:v>
                </c:pt>
                <c:pt idx="104">
                  <c:v>642254.81562000001</c:v>
                </c:pt>
                <c:pt idx="105">
                  <c:v>634626.89277999999</c:v>
                </c:pt>
                <c:pt idx="106">
                  <c:v>655341.88436000003</c:v>
                </c:pt>
                <c:pt idx="107">
                  <c:v>697159.73024000006</c:v>
                </c:pt>
                <c:pt idx="108">
                  <c:v>701330.67772000004</c:v>
                </c:pt>
                <c:pt idx="109">
                  <c:v>650827.73087999993</c:v>
                </c:pt>
                <c:pt idx="110">
                  <c:v>652776.17669999995</c:v>
                </c:pt>
                <c:pt idx="111">
                  <c:v>658850.96424</c:v>
                </c:pt>
                <c:pt idx="112">
                  <c:v>652298.82016</c:v>
                </c:pt>
                <c:pt idx="113">
                  <c:v>665517.73699999996</c:v>
                </c:pt>
                <c:pt idx="114">
                  <c:v>678281.63808000006</c:v>
                </c:pt>
                <c:pt idx="115">
                  <c:v>676554.43106000009</c:v>
                </c:pt>
                <c:pt idx="116">
                  <c:v>702318.20475999999</c:v>
                </c:pt>
                <c:pt idx="117">
                  <c:v>723860.71875999996</c:v>
                </c:pt>
                <c:pt idx="118">
                  <c:v>710866.58771999995</c:v>
                </c:pt>
                <c:pt idx="119">
                  <c:v>702864.28371999995</c:v>
                </c:pt>
                <c:pt idx="120">
                  <c:v>685428.76327999996</c:v>
                </c:pt>
                <c:pt idx="121">
                  <c:v>699412.46250000002</c:v>
                </c:pt>
                <c:pt idx="122">
                  <c:v>710038.75453999999</c:v>
                </c:pt>
                <c:pt idx="123">
                  <c:v>763584.23462</c:v>
                </c:pt>
                <c:pt idx="124">
                  <c:v>757651.98823999998</c:v>
                </c:pt>
                <c:pt idx="125">
                  <c:v>776535.13405999995</c:v>
                </c:pt>
                <c:pt idx="126">
                  <c:v>793756.17253999994</c:v>
                </c:pt>
                <c:pt idx="127">
                  <c:v>796161.02278</c:v>
                </c:pt>
                <c:pt idx="128">
                  <c:v>792250.09562000004</c:v>
                </c:pt>
                <c:pt idx="129">
                  <c:v>779602.76769999997</c:v>
                </c:pt>
                <c:pt idx="130">
                  <c:v>789797.04623999994</c:v>
                </c:pt>
                <c:pt idx="131">
                  <c:v>789911.60832</c:v>
                </c:pt>
                <c:pt idx="132">
                  <c:v>810450.29822</c:v>
                </c:pt>
                <c:pt idx="133">
                  <c:v>802847.57687999995</c:v>
                </c:pt>
                <c:pt idx="134">
                  <c:v>787953.45299999998</c:v>
                </c:pt>
                <c:pt idx="135">
                  <c:v>810253.08632</c:v>
                </c:pt>
                <c:pt idx="136">
                  <c:v>821338.83184</c:v>
                </c:pt>
                <c:pt idx="137">
                  <c:v>857437.81040000007</c:v>
                </c:pt>
                <c:pt idx="138">
                  <c:v>825069.44714000006</c:v>
                </c:pt>
                <c:pt idx="139">
                  <c:v>820867.44277999992</c:v>
                </c:pt>
                <c:pt idx="140">
                  <c:v>816989.74561999994</c:v>
                </c:pt>
                <c:pt idx="141">
                  <c:v>841428.02520000003</c:v>
                </c:pt>
                <c:pt idx="142">
                  <c:v>845360.36967999989</c:v>
                </c:pt>
                <c:pt idx="143">
                  <c:v>816201.62560000003</c:v>
                </c:pt>
                <c:pt idx="144">
                  <c:v>835413.41686</c:v>
                </c:pt>
                <c:pt idx="145">
                  <c:v>886342.67787999997</c:v>
                </c:pt>
                <c:pt idx="146">
                  <c:v>879239.94429999997</c:v>
                </c:pt>
                <c:pt idx="147">
                  <c:v>913370.97016000003</c:v>
                </c:pt>
                <c:pt idx="148">
                  <c:v>923426.19396000006</c:v>
                </c:pt>
                <c:pt idx="149">
                  <c:v>948403.45094000013</c:v>
                </c:pt>
                <c:pt idx="150">
                  <c:v>953894.77692000009</c:v>
                </c:pt>
                <c:pt idx="151">
                  <c:v>952542.57902000006</c:v>
                </c:pt>
                <c:pt idx="152">
                  <c:v>952211.98947999999</c:v>
                </c:pt>
                <c:pt idx="153">
                  <c:v>955340.74678000004</c:v>
                </c:pt>
                <c:pt idx="154">
                  <c:v>961402.94375999994</c:v>
                </c:pt>
                <c:pt idx="155">
                  <c:v>977217.44773999997</c:v>
                </c:pt>
                <c:pt idx="156">
                  <c:v>982649.46435999998</c:v>
                </c:pt>
                <c:pt idx="157">
                  <c:v>997932.58513999986</c:v>
                </c:pt>
                <c:pt idx="158">
                  <c:v>989757.24959999998</c:v>
                </c:pt>
                <c:pt idx="159">
                  <c:v>976224.73995999992</c:v>
                </c:pt>
                <c:pt idx="160">
                  <c:v>984113.43027999997</c:v>
                </c:pt>
                <c:pt idx="161">
                  <c:v>1004696.13278</c:v>
                </c:pt>
                <c:pt idx="162">
                  <c:v>1014509.4512</c:v>
                </c:pt>
                <c:pt idx="163">
                  <c:v>1049991.9111800001</c:v>
                </c:pt>
                <c:pt idx="164">
                  <c:v>1045803.61176</c:v>
                </c:pt>
                <c:pt idx="165">
                  <c:v>1067886.47588</c:v>
                </c:pt>
                <c:pt idx="166">
                  <c:v>1080775.8506</c:v>
                </c:pt>
                <c:pt idx="167">
                  <c:v>1087914.8073999998</c:v>
                </c:pt>
                <c:pt idx="168">
                  <c:v>1108754.2382</c:v>
                </c:pt>
                <c:pt idx="169">
                  <c:v>1095384.54262</c:v>
                </c:pt>
                <c:pt idx="170">
                  <c:v>1083947.0354599999</c:v>
                </c:pt>
                <c:pt idx="171">
                  <c:v>1052473.5227399999</c:v>
                </c:pt>
                <c:pt idx="172">
                  <c:v>1063803.2016799999</c:v>
                </c:pt>
                <c:pt idx="173">
                  <c:v>1050528.3887399998</c:v>
                </c:pt>
                <c:pt idx="174">
                  <c:v>1000119.0895199999</c:v>
                </c:pt>
                <c:pt idx="175">
                  <c:v>1001748.5697000001</c:v>
                </c:pt>
                <c:pt idx="176">
                  <c:v>991374.41943999997</c:v>
                </c:pt>
                <c:pt idx="177">
                  <c:v>1002411.41744</c:v>
                </c:pt>
                <c:pt idx="178">
                  <c:v>998875.60348000005</c:v>
                </c:pt>
                <c:pt idx="179">
                  <c:v>932893.46120000002</c:v>
                </c:pt>
                <c:pt idx="180">
                  <c:v>913754.01111999992</c:v>
                </c:pt>
                <c:pt idx="181">
                  <c:v>912334.84008000011</c:v>
                </c:pt>
                <c:pt idx="182">
                  <c:v>898920.26567999995</c:v>
                </c:pt>
                <c:pt idx="183">
                  <c:v>926184.26478000009</c:v>
                </c:pt>
                <c:pt idx="184">
                  <c:v>951137.63743999996</c:v>
                </c:pt>
                <c:pt idx="185">
                  <c:v>928710.4564400001</c:v>
                </c:pt>
                <c:pt idx="186">
                  <c:v>924542.88746000011</c:v>
                </c:pt>
                <c:pt idx="187">
                  <c:v>922432.38851999992</c:v>
                </c:pt>
                <c:pt idx="188">
                  <c:v>923394.57796000002</c:v>
                </c:pt>
                <c:pt idx="189">
                  <c:v>866023.25431999995</c:v>
                </c:pt>
                <c:pt idx="190">
                  <c:v>854955.38870000001</c:v>
                </c:pt>
                <c:pt idx="191">
                  <c:v>823731.57894000004</c:v>
                </c:pt>
                <c:pt idx="192">
                  <c:v>840521.91926000011</c:v>
                </c:pt>
                <c:pt idx="193">
                  <c:v>839542.91439999989</c:v>
                </c:pt>
                <c:pt idx="194">
                  <c:v>854240.28895999992</c:v>
                </c:pt>
                <c:pt idx="195">
                  <c:v>857525.90636000002</c:v>
                </c:pt>
                <c:pt idx="196">
                  <c:v>857599.04372000007</c:v>
                </c:pt>
                <c:pt idx="197">
                  <c:v>869615.07365999999</c:v>
                </c:pt>
                <c:pt idx="198">
                  <c:v>825082.31224</c:v>
                </c:pt>
                <c:pt idx="199">
                  <c:v>843565.56407999992</c:v>
                </c:pt>
                <c:pt idx="200">
                  <c:v>819991.33298000006</c:v>
                </c:pt>
                <c:pt idx="201">
                  <c:v>827590.66821999999</c:v>
                </c:pt>
                <c:pt idx="202">
                  <c:v>868771.82422000007</c:v>
                </c:pt>
                <c:pt idx="203">
                  <c:v>879706.50815999997</c:v>
                </c:pt>
                <c:pt idx="204">
                  <c:v>903756.67862000002</c:v>
                </c:pt>
                <c:pt idx="205">
                  <c:v>913401.96520000009</c:v>
                </c:pt>
                <c:pt idx="206">
                  <c:v>951628.67544000002</c:v>
                </c:pt>
                <c:pt idx="207">
                  <c:v>947072.35847999994</c:v>
                </c:pt>
                <c:pt idx="208">
                  <c:v>929477.30825999996</c:v>
                </c:pt>
                <c:pt idx="209">
                  <c:v>913101.80355999991</c:v>
                </c:pt>
                <c:pt idx="210">
                  <c:v>897290.45588000002</c:v>
                </c:pt>
                <c:pt idx="211">
                  <c:v>881148.08400000003</c:v>
                </c:pt>
                <c:pt idx="212">
                  <c:v>887484.11464000004</c:v>
                </c:pt>
                <c:pt idx="213">
                  <c:v>851733.18403999996</c:v>
                </c:pt>
                <c:pt idx="214">
                  <c:v>809291.80798000004</c:v>
                </c:pt>
                <c:pt idx="215">
                  <c:v>826185.84009999991</c:v>
                </c:pt>
                <c:pt idx="216">
                  <c:v>858113.28377999994</c:v>
                </c:pt>
                <c:pt idx="217">
                  <c:v>869098.50328000006</c:v>
                </c:pt>
                <c:pt idx="218">
                  <c:v>877071.65759999992</c:v>
                </c:pt>
                <c:pt idx="219">
                  <c:v>881504.16048000008</c:v>
                </c:pt>
                <c:pt idx="220">
                  <c:v>884751.41566000006</c:v>
                </c:pt>
                <c:pt idx="221">
                  <c:v>881820.33704000001</c:v>
                </c:pt>
                <c:pt idx="222">
                  <c:v>898853.23472000007</c:v>
                </c:pt>
                <c:pt idx="223">
                  <c:v>880352.75866000005</c:v>
                </c:pt>
                <c:pt idx="224">
                  <c:v>871269.36432000005</c:v>
                </c:pt>
                <c:pt idx="225">
                  <c:v>877554.69952000002</c:v>
                </c:pt>
                <c:pt idx="226">
                  <c:v>902986.40145999996</c:v>
                </c:pt>
                <c:pt idx="227">
                  <c:v>875300.82520000008</c:v>
                </c:pt>
                <c:pt idx="228">
                  <c:v>873529.89902000001</c:v>
                </c:pt>
                <c:pt idx="229">
                  <c:v>871964.48366000003</c:v>
                </c:pt>
                <c:pt idx="230">
                  <c:v>890948.47970000003</c:v>
                </c:pt>
                <c:pt idx="231">
                  <c:v>879501.88171999995</c:v>
                </c:pt>
                <c:pt idx="232">
                  <c:v>892818.26989999996</c:v>
                </c:pt>
                <c:pt idx="233">
                  <c:v>929504.58059999999</c:v>
                </c:pt>
                <c:pt idx="234">
                  <c:v>889316.01432000007</c:v>
                </c:pt>
                <c:pt idx="235">
                  <c:v>893347.55221999995</c:v>
                </c:pt>
                <c:pt idx="236">
                  <c:v>914311.32062000001</c:v>
                </c:pt>
                <c:pt idx="237">
                  <c:v>901264.88665999996</c:v>
                </c:pt>
                <c:pt idx="238">
                  <c:v>912931.88673999999</c:v>
                </c:pt>
                <c:pt idx="239">
                  <c:v>923122.00644000003</c:v>
                </c:pt>
                <c:pt idx="240">
                  <c:v>907424.66207999992</c:v>
                </c:pt>
                <c:pt idx="241">
                  <c:v>902969.37427999987</c:v>
                </c:pt>
                <c:pt idx="242">
                  <c:v>913335.36062000005</c:v>
                </c:pt>
                <c:pt idx="243">
                  <c:v>919706.52872000006</c:v>
                </c:pt>
                <c:pt idx="244">
                  <c:v>924343.77831999992</c:v>
                </c:pt>
                <c:pt idx="245">
                  <c:v>936742.82004000002</c:v>
                </c:pt>
                <c:pt idx="246">
                  <c:v>943451.66599999997</c:v>
                </c:pt>
                <c:pt idx="247">
                  <c:v>943417.29848</c:v>
                </c:pt>
                <c:pt idx="248">
                  <c:v>944646.22334000003</c:v>
                </c:pt>
                <c:pt idx="249">
                  <c:v>955589.63333999994</c:v>
                </c:pt>
                <c:pt idx="250">
                  <c:v>961308.60211999994</c:v>
                </c:pt>
                <c:pt idx="251">
                  <c:v>949492.75703999994</c:v>
                </c:pt>
                <c:pt idx="252">
                  <c:v>930763.19091999996</c:v>
                </c:pt>
                <c:pt idx="253">
                  <c:v>914056.51136000012</c:v>
                </c:pt>
                <c:pt idx="254">
                  <c:v>903040.56268000009</c:v>
                </c:pt>
                <c:pt idx="255">
                  <c:v>958737.56631999998</c:v>
                </c:pt>
                <c:pt idx="256">
                  <c:v>955623.72106000001</c:v>
                </c:pt>
                <c:pt idx="257">
                  <c:v>947968.56822000002</c:v>
                </c:pt>
                <c:pt idx="258">
                  <c:v>957811.5560000001</c:v>
                </c:pt>
                <c:pt idx="259">
                  <c:v>946768.47173999995</c:v>
                </c:pt>
                <c:pt idx="260">
                  <c:v>975681.31992000004</c:v>
                </c:pt>
                <c:pt idx="261">
                  <c:v>981753.34952000005</c:v>
                </c:pt>
                <c:pt idx="262">
                  <c:v>993565.71136000007</c:v>
                </c:pt>
                <c:pt idx="263">
                  <c:v>983515.02975999995</c:v>
                </c:pt>
                <c:pt idx="264">
                  <c:v>989304.95686000003</c:v>
                </c:pt>
                <c:pt idx="265">
                  <c:v>993000.15441999992</c:v>
                </c:pt>
                <c:pt idx="266">
                  <c:v>965214.69802000001</c:v>
                </c:pt>
                <c:pt idx="267">
                  <c:v>972753.48044000007</c:v>
                </c:pt>
                <c:pt idx="268">
                  <c:v>981703.05154000001</c:v>
                </c:pt>
                <c:pt idx="269">
                  <c:v>972710.71019999997</c:v>
                </c:pt>
                <c:pt idx="270">
                  <c:v>971507.52415999991</c:v>
                </c:pt>
                <c:pt idx="271">
                  <c:v>943857.07686000003</c:v>
                </c:pt>
                <c:pt idx="272">
                  <c:v>947408.93653999991</c:v>
                </c:pt>
                <c:pt idx="273">
                  <c:v>947337.53281999996</c:v>
                </c:pt>
                <c:pt idx="274">
                  <c:v>948519.24089999998</c:v>
                </c:pt>
                <c:pt idx="275">
                  <c:v>941440.36119999993</c:v>
                </c:pt>
                <c:pt idx="276">
                  <c:v>960963.46124000009</c:v>
                </c:pt>
                <c:pt idx="277">
                  <c:v>953234.01747999992</c:v>
                </c:pt>
                <c:pt idx="278">
                  <c:v>950610.27983999997</c:v>
                </c:pt>
                <c:pt idx="279">
                  <c:v>950749.61098</c:v>
                </c:pt>
                <c:pt idx="280">
                  <c:v>964396.49651999993</c:v>
                </c:pt>
                <c:pt idx="281">
                  <c:v>968059.86984000006</c:v>
                </c:pt>
                <c:pt idx="282">
                  <c:v>991060.42434000003</c:v>
                </c:pt>
                <c:pt idx="283">
                  <c:v>972799.66700000002</c:v>
                </c:pt>
                <c:pt idx="284">
                  <c:v>982403.68093999999</c:v>
                </c:pt>
                <c:pt idx="285">
                  <c:v>981766.80232000002</c:v>
                </c:pt>
                <c:pt idx="286">
                  <c:v>984549.85123999999</c:v>
                </c:pt>
                <c:pt idx="287">
                  <c:v>954706.47447999998</c:v>
                </c:pt>
                <c:pt idx="288">
                  <c:v>916549.40286000003</c:v>
                </c:pt>
                <c:pt idx="289">
                  <c:v>908049.56412</c:v>
                </c:pt>
                <c:pt idx="290">
                  <c:v>912406.12212000007</c:v>
                </c:pt>
                <c:pt idx="291">
                  <c:v>904078.11204000004</c:v>
                </c:pt>
                <c:pt idx="292">
                  <c:v>912084.55651999987</c:v>
                </c:pt>
                <c:pt idx="293">
                  <c:v>927275.27643999993</c:v>
                </c:pt>
                <c:pt idx="294">
                  <c:v>924619.78107999987</c:v>
                </c:pt>
                <c:pt idx="295">
                  <c:v>923783.71552000009</c:v>
                </c:pt>
                <c:pt idx="296">
                  <c:v>920206.34096000006</c:v>
                </c:pt>
                <c:pt idx="297">
                  <c:v>954551.77301999996</c:v>
                </c:pt>
                <c:pt idx="298">
                  <c:v>938941.76202000002</c:v>
                </c:pt>
                <c:pt idx="299">
                  <c:v>941691.03998000012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9D-4297-A46A-235352BAFBCD}"/>
            </c:ext>
          </c:extLst>
        </c:ser>
        <c:ser>
          <c:idx val="7"/>
          <c:order val="7"/>
          <c:tx>
            <c:strRef>
              <c:f>创业板!$L$1</c:f>
              <c:strCache>
                <c:ptCount val="1"/>
                <c:pt idx="0">
                  <c:v>SVM_C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创业板!$L$2:$L$302</c:f>
              <c:numCache>
                <c:formatCode>General</c:formatCode>
                <c:ptCount val="301"/>
                <c:pt idx="0">
                  <c:v>1000000</c:v>
                </c:pt>
                <c:pt idx="1">
                  <c:v>1025067.4001800001</c:v>
                </c:pt>
                <c:pt idx="2">
                  <c:v>983099.3898</c:v>
                </c:pt>
                <c:pt idx="3">
                  <c:v>989234.63254000002</c:v>
                </c:pt>
                <c:pt idx="4">
                  <c:v>991261.90636000002</c:v>
                </c:pt>
                <c:pt idx="5">
                  <c:v>984735.40075999999</c:v>
                </c:pt>
                <c:pt idx="6">
                  <c:v>986038.67738000001</c:v>
                </c:pt>
                <c:pt idx="7">
                  <c:v>1004118.6329399999</c:v>
                </c:pt>
                <c:pt idx="8">
                  <c:v>983513.54132000008</c:v>
                </c:pt>
                <c:pt idx="9">
                  <c:v>954385.57941999997</c:v>
                </c:pt>
                <c:pt idx="10">
                  <c:v>966766.98379999993</c:v>
                </c:pt>
                <c:pt idx="11">
                  <c:v>962524.88428000011</c:v>
                </c:pt>
                <c:pt idx="12">
                  <c:v>942714.02112000005</c:v>
                </c:pt>
                <c:pt idx="13">
                  <c:v>932170.12575999997</c:v>
                </c:pt>
                <c:pt idx="14">
                  <c:v>946593.74230000004</c:v>
                </c:pt>
                <c:pt idx="15">
                  <c:v>966800.75399999996</c:v>
                </c:pt>
                <c:pt idx="16">
                  <c:v>955526.33892000001</c:v>
                </c:pt>
                <c:pt idx="17">
                  <c:v>970523.68293999997</c:v>
                </c:pt>
                <c:pt idx="18">
                  <c:v>966380.22943999991</c:v>
                </c:pt>
                <c:pt idx="19">
                  <c:v>927773.00899999996</c:v>
                </c:pt>
                <c:pt idx="20">
                  <c:v>904768.39546000003</c:v>
                </c:pt>
                <c:pt idx="21">
                  <c:v>908216.01468000002</c:v>
                </c:pt>
                <c:pt idx="22">
                  <c:v>891468.53704000008</c:v>
                </c:pt>
                <c:pt idx="23">
                  <c:v>922020.21854000003</c:v>
                </c:pt>
                <c:pt idx="24">
                  <c:v>895311.45011999796</c:v>
                </c:pt>
                <c:pt idx="25">
                  <c:v>913092.93171999813</c:v>
                </c:pt>
                <c:pt idx="26">
                  <c:v>897012.19785999996</c:v>
                </c:pt>
                <c:pt idx="27">
                  <c:v>913156.47743999993</c:v>
                </c:pt>
                <c:pt idx="28">
                  <c:v>938140.45221999998</c:v>
                </c:pt>
                <c:pt idx="29">
                  <c:v>928194.19699999806</c:v>
                </c:pt>
                <c:pt idx="30">
                  <c:v>916830.25775999797</c:v>
                </c:pt>
                <c:pt idx="31">
                  <c:v>890914.11621999799</c:v>
                </c:pt>
                <c:pt idx="32">
                  <c:v>878696.17057999806</c:v>
                </c:pt>
                <c:pt idx="33">
                  <c:v>886744.33007999812</c:v>
                </c:pt>
                <c:pt idx="34">
                  <c:v>867514.96842000005</c:v>
                </c:pt>
                <c:pt idx="35">
                  <c:v>868793.45676000009</c:v>
                </c:pt>
                <c:pt idx="36">
                  <c:v>840989.07042</c:v>
                </c:pt>
                <c:pt idx="37">
                  <c:v>843508.44287999999</c:v>
                </c:pt>
                <c:pt idx="38">
                  <c:v>844817.75659999996</c:v>
                </c:pt>
                <c:pt idx="39">
                  <c:v>837078.96551999997</c:v>
                </c:pt>
                <c:pt idx="40">
                  <c:v>857625.68137999997</c:v>
                </c:pt>
                <c:pt idx="41">
                  <c:v>845456.48836000008</c:v>
                </c:pt>
                <c:pt idx="42">
                  <c:v>820033.06368000002</c:v>
                </c:pt>
                <c:pt idx="43">
                  <c:v>820033.06368000002</c:v>
                </c:pt>
                <c:pt idx="44">
                  <c:v>820033.06368000002</c:v>
                </c:pt>
                <c:pt idx="45">
                  <c:v>820033.06368000002</c:v>
                </c:pt>
                <c:pt idx="46">
                  <c:v>819309.55417999998</c:v>
                </c:pt>
                <c:pt idx="47">
                  <c:v>816584.74308000004</c:v>
                </c:pt>
                <c:pt idx="48">
                  <c:v>811445.42145999998</c:v>
                </c:pt>
                <c:pt idx="49">
                  <c:v>809221.46473999997</c:v>
                </c:pt>
                <c:pt idx="50">
                  <c:v>853340.55417999998</c:v>
                </c:pt>
                <c:pt idx="51">
                  <c:v>839008.68388000003</c:v>
                </c:pt>
                <c:pt idx="52">
                  <c:v>849536.49618000002</c:v>
                </c:pt>
                <c:pt idx="53">
                  <c:v>851641.5284800001</c:v>
                </c:pt>
                <c:pt idx="54">
                  <c:v>849541.56117999996</c:v>
                </c:pt>
                <c:pt idx="55">
                  <c:v>842046.24103999999</c:v>
                </c:pt>
                <c:pt idx="56">
                  <c:v>824525.50777999999</c:v>
                </c:pt>
                <c:pt idx="57">
                  <c:v>816958.98956000002</c:v>
                </c:pt>
                <c:pt idx="58">
                  <c:v>792172.35219999996</c:v>
                </c:pt>
                <c:pt idx="59">
                  <c:v>762228.29709999997</c:v>
                </c:pt>
                <c:pt idx="60">
                  <c:v>770871.33777999994</c:v>
                </c:pt>
                <c:pt idx="61">
                  <c:v>788766.80857999995</c:v>
                </c:pt>
                <c:pt idx="62">
                  <c:v>791252.30426</c:v>
                </c:pt>
                <c:pt idx="63">
                  <c:v>768248.47246000008</c:v>
                </c:pt>
                <c:pt idx="64">
                  <c:v>746644.95882000006</c:v>
                </c:pt>
                <c:pt idx="65">
                  <c:v>775162.32973999996</c:v>
                </c:pt>
                <c:pt idx="66">
                  <c:v>783478.67888000002</c:v>
                </c:pt>
                <c:pt idx="67">
                  <c:v>795486.20264000003</c:v>
                </c:pt>
                <c:pt idx="68">
                  <c:v>799775.83476</c:v>
                </c:pt>
                <c:pt idx="69">
                  <c:v>787225.98311999999</c:v>
                </c:pt>
                <c:pt idx="70">
                  <c:v>793119.66035999998</c:v>
                </c:pt>
                <c:pt idx="71">
                  <c:v>804471.57104000007</c:v>
                </c:pt>
                <c:pt idx="72">
                  <c:v>800750.11066000001</c:v>
                </c:pt>
                <c:pt idx="73">
                  <c:v>793915.56654000003</c:v>
                </c:pt>
                <c:pt idx="74">
                  <c:v>786262.87942000001</c:v>
                </c:pt>
                <c:pt idx="75">
                  <c:v>808294.54480000003</c:v>
                </c:pt>
                <c:pt idx="76">
                  <c:v>792527.39116</c:v>
                </c:pt>
                <c:pt idx="77">
                  <c:v>795656.14072000002</c:v>
                </c:pt>
                <c:pt idx="78">
                  <c:v>792273.47779999999</c:v>
                </c:pt>
                <c:pt idx="79">
                  <c:v>769230.88630000001</c:v>
                </c:pt>
                <c:pt idx="80">
                  <c:v>751882.56553999998</c:v>
                </c:pt>
                <c:pt idx="81">
                  <c:v>718868.16864000005</c:v>
                </c:pt>
                <c:pt idx="82">
                  <c:v>729237.91405999998</c:v>
                </c:pt>
                <c:pt idx="83">
                  <c:v>711745.17797999992</c:v>
                </c:pt>
                <c:pt idx="84">
                  <c:v>714108.58524000004</c:v>
                </c:pt>
                <c:pt idx="85">
                  <c:v>705723.16682000004</c:v>
                </c:pt>
                <c:pt idx="86">
                  <c:v>709338.04170000006</c:v>
                </c:pt>
                <c:pt idx="87">
                  <c:v>702093.32202000008</c:v>
                </c:pt>
                <c:pt idx="88">
                  <c:v>688453.83695999999</c:v>
                </c:pt>
                <c:pt idx="89">
                  <c:v>677067.46632000001</c:v>
                </c:pt>
                <c:pt idx="90">
                  <c:v>663059.99927999999</c:v>
                </c:pt>
                <c:pt idx="91">
                  <c:v>626015.95360000001</c:v>
                </c:pt>
                <c:pt idx="92">
                  <c:v>615440.31245999993</c:v>
                </c:pt>
                <c:pt idx="93">
                  <c:v>641545.2193</c:v>
                </c:pt>
                <c:pt idx="94">
                  <c:v>631125.70990000002</c:v>
                </c:pt>
                <c:pt idx="95">
                  <c:v>657785.92948000005</c:v>
                </c:pt>
                <c:pt idx="96">
                  <c:v>666115.12517999799</c:v>
                </c:pt>
                <c:pt idx="97">
                  <c:v>663409.17903999798</c:v>
                </c:pt>
                <c:pt idx="98">
                  <c:v>665921.27087999799</c:v>
                </c:pt>
                <c:pt idx="99">
                  <c:v>683288.38393999799</c:v>
                </c:pt>
                <c:pt idx="100">
                  <c:v>707415.51083999802</c:v>
                </c:pt>
                <c:pt idx="101">
                  <c:v>708468.14457999798</c:v>
                </c:pt>
                <c:pt idx="102">
                  <c:v>707532.94541999802</c:v>
                </c:pt>
                <c:pt idx="103">
                  <c:v>703903.68085999798</c:v>
                </c:pt>
                <c:pt idx="104">
                  <c:v>719099.83951999794</c:v>
                </c:pt>
                <c:pt idx="105">
                  <c:v>719023.92937999801</c:v>
                </c:pt>
                <c:pt idx="106">
                  <c:v>721417.55675999797</c:v>
                </c:pt>
                <c:pt idx="107">
                  <c:v>740076.02713999804</c:v>
                </c:pt>
                <c:pt idx="108">
                  <c:v>748197.20932000002</c:v>
                </c:pt>
                <c:pt idx="109">
                  <c:v>712811.63014000002</c:v>
                </c:pt>
                <c:pt idx="110">
                  <c:v>718589.01572000002</c:v>
                </c:pt>
                <c:pt idx="111">
                  <c:v>722300.09972000006</c:v>
                </c:pt>
                <c:pt idx="112">
                  <c:v>710033.48316000006</c:v>
                </c:pt>
                <c:pt idx="113">
                  <c:v>722990.67039999994</c:v>
                </c:pt>
                <c:pt idx="114">
                  <c:v>734467.46458000003</c:v>
                </c:pt>
                <c:pt idx="115">
                  <c:v>738854.96658000001</c:v>
                </c:pt>
                <c:pt idx="116">
                  <c:v>768609.63404000003</c:v>
                </c:pt>
                <c:pt idx="117">
                  <c:v>789198.67018000002</c:v>
                </c:pt>
                <c:pt idx="118">
                  <c:v>782354.71860000002</c:v>
                </c:pt>
                <c:pt idx="119">
                  <c:v>775448.24107999995</c:v>
                </c:pt>
                <c:pt idx="120">
                  <c:v>753968.91975999996</c:v>
                </c:pt>
                <c:pt idx="121">
                  <c:v>771995.29409999994</c:v>
                </c:pt>
                <c:pt idx="122">
                  <c:v>783787.66792000004</c:v>
                </c:pt>
                <c:pt idx="123">
                  <c:v>799741.72757999995</c:v>
                </c:pt>
                <c:pt idx="124">
                  <c:v>790360.74835999997</c:v>
                </c:pt>
                <c:pt idx="125">
                  <c:v>807767.60227999999</c:v>
                </c:pt>
                <c:pt idx="126">
                  <c:v>825206.04550000001</c:v>
                </c:pt>
                <c:pt idx="127">
                  <c:v>836226.24400000006</c:v>
                </c:pt>
                <c:pt idx="128">
                  <c:v>827705.95285999996</c:v>
                </c:pt>
                <c:pt idx="129">
                  <c:v>832387.45262</c:v>
                </c:pt>
                <c:pt idx="130">
                  <c:v>872108.02371999994</c:v>
                </c:pt>
                <c:pt idx="131">
                  <c:v>872890.02917999995</c:v>
                </c:pt>
                <c:pt idx="132">
                  <c:v>882235.69578000007</c:v>
                </c:pt>
                <c:pt idx="133">
                  <c:v>880837.11542000005</c:v>
                </c:pt>
                <c:pt idx="134">
                  <c:v>864286.07711999991</c:v>
                </c:pt>
                <c:pt idx="135">
                  <c:v>882675.15205999999</c:v>
                </c:pt>
                <c:pt idx="136">
                  <c:v>894016.86265999987</c:v>
                </c:pt>
                <c:pt idx="137">
                  <c:v>912045.76273999992</c:v>
                </c:pt>
                <c:pt idx="138">
                  <c:v>895203.33935999998</c:v>
                </c:pt>
                <c:pt idx="139">
                  <c:v>898997.38964000007</c:v>
                </c:pt>
                <c:pt idx="140">
                  <c:v>915632.11192000005</c:v>
                </c:pt>
                <c:pt idx="141">
                  <c:v>907183.27410000004</c:v>
                </c:pt>
                <c:pt idx="142">
                  <c:v>920665.61943999992</c:v>
                </c:pt>
                <c:pt idx="143">
                  <c:v>889444.25140000007</c:v>
                </c:pt>
                <c:pt idx="144">
                  <c:v>900031.74228000012</c:v>
                </c:pt>
                <c:pt idx="145">
                  <c:v>926071.37170000002</c:v>
                </c:pt>
                <c:pt idx="146">
                  <c:v>918312.10956000001</c:v>
                </c:pt>
                <c:pt idx="147">
                  <c:v>936195.91410000005</c:v>
                </c:pt>
                <c:pt idx="148">
                  <c:v>934602.25211999996</c:v>
                </c:pt>
                <c:pt idx="149">
                  <c:v>954497.05368000013</c:v>
                </c:pt>
                <c:pt idx="150">
                  <c:v>952326.36248000001</c:v>
                </c:pt>
                <c:pt idx="151">
                  <c:v>934407.12300000002</c:v>
                </c:pt>
                <c:pt idx="152">
                  <c:v>927125.6113600001</c:v>
                </c:pt>
                <c:pt idx="153">
                  <c:v>925789.88939999999</c:v>
                </c:pt>
                <c:pt idx="154">
                  <c:v>935969.16818000004</c:v>
                </c:pt>
                <c:pt idx="155">
                  <c:v>948330.46094000002</c:v>
                </c:pt>
                <c:pt idx="156">
                  <c:v>937176.66021999996</c:v>
                </c:pt>
                <c:pt idx="157">
                  <c:v>942288.17018000002</c:v>
                </c:pt>
                <c:pt idx="158">
                  <c:v>925059.40355999989</c:v>
                </c:pt>
                <c:pt idx="159">
                  <c:v>904059.49575999996</c:v>
                </c:pt>
                <c:pt idx="160">
                  <c:v>908749.64653999987</c:v>
                </c:pt>
                <c:pt idx="161">
                  <c:v>926605.85964000004</c:v>
                </c:pt>
                <c:pt idx="162">
                  <c:v>938536.1195599999</c:v>
                </c:pt>
                <c:pt idx="163">
                  <c:v>947074.31901999994</c:v>
                </c:pt>
                <c:pt idx="164">
                  <c:v>950480.97259999998</c:v>
                </c:pt>
                <c:pt idx="165">
                  <c:v>959345.35441999999</c:v>
                </c:pt>
                <c:pt idx="166">
                  <c:v>950521.78599999996</c:v>
                </c:pt>
                <c:pt idx="167">
                  <c:v>958300.07985999994</c:v>
                </c:pt>
                <c:pt idx="168">
                  <c:v>952035.69609999994</c:v>
                </c:pt>
                <c:pt idx="169">
                  <c:v>948269.80346000008</c:v>
                </c:pt>
                <c:pt idx="170">
                  <c:v>951079.40656000003</c:v>
                </c:pt>
                <c:pt idx="171">
                  <c:v>931596.05998000002</c:v>
                </c:pt>
                <c:pt idx="172">
                  <c:v>942927.37849999999</c:v>
                </c:pt>
                <c:pt idx="173">
                  <c:v>936535.79612000007</c:v>
                </c:pt>
                <c:pt idx="174">
                  <c:v>899938.97824000008</c:v>
                </c:pt>
                <c:pt idx="175">
                  <c:v>891392.85223999992</c:v>
                </c:pt>
                <c:pt idx="176">
                  <c:v>883396.75636000209</c:v>
                </c:pt>
                <c:pt idx="177">
                  <c:v>887077.08516000002</c:v>
                </c:pt>
                <c:pt idx="178">
                  <c:v>879805.55238000001</c:v>
                </c:pt>
                <c:pt idx="179">
                  <c:v>856518.28570000012</c:v>
                </c:pt>
                <c:pt idx="180">
                  <c:v>855975.74202000001</c:v>
                </c:pt>
                <c:pt idx="181">
                  <c:v>859473.07833999989</c:v>
                </c:pt>
                <c:pt idx="182">
                  <c:v>860329.21143999998</c:v>
                </c:pt>
                <c:pt idx="183">
                  <c:v>876398.11141999997</c:v>
                </c:pt>
                <c:pt idx="184">
                  <c:v>895806.3236</c:v>
                </c:pt>
                <c:pt idx="185">
                  <c:v>885908.99155999999</c:v>
                </c:pt>
                <c:pt idx="186">
                  <c:v>888188.72136000008</c:v>
                </c:pt>
                <c:pt idx="187">
                  <c:v>878629.03460000013</c:v>
                </c:pt>
                <c:pt idx="188">
                  <c:v>885796.75517999998</c:v>
                </c:pt>
                <c:pt idx="189">
                  <c:v>853472.61857999989</c:v>
                </c:pt>
                <c:pt idx="190">
                  <c:v>844365.53499999992</c:v>
                </c:pt>
                <c:pt idx="191">
                  <c:v>829355.46626000002</c:v>
                </c:pt>
                <c:pt idx="192">
                  <c:v>842973.76456000004</c:v>
                </c:pt>
                <c:pt idx="193">
                  <c:v>822122.47528000001</c:v>
                </c:pt>
                <c:pt idx="194">
                  <c:v>838011.24139999994</c:v>
                </c:pt>
                <c:pt idx="195">
                  <c:v>814732.88534000004</c:v>
                </c:pt>
                <c:pt idx="196">
                  <c:v>816426.21972000005</c:v>
                </c:pt>
                <c:pt idx="197">
                  <c:v>846303.22902000009</c:v>
                </c:pt>
                <c:pt idx="198">
                  <c:v>823502.59915999998</c:v>
                </c:pt>
                <c:pt idx="199">
                  <c:v>834276.21531999996</c:v>
                </c:pt>
                <c:pt idx="200">
                  <c:v>813751.05968000006</c:v>
                </c:pt>
                <c:pt idx="201">
                  <c:v>828929.65214000002</c:v>
                </c:pt>
                <c:pt idx="202">
                  <c:v>849919.74482000002</c:v>
                </c:pt>
                <c:pt idx="203">
                  <c:v>857627.30754000007</c:v>
                </c:pt>
                <c:pt idx="204">
                  <c:v>875612.80781999999</c:v>
                </c:pt>
                <c:pt idx="205">
                  <c:v>881755.99568000005</c:v>
                </c:pt>
                <c:pt idx="206">
                  <c:v>899494.01495999994</c:v>
                </c:pt>
                <c:pt idx="207">
                  <c:v>904132.41703999997</c:v>
                </c:pt>
                <c:pt idx="208">
                  <c:v>891970.41094000009</c:v>
                </c:pt>
                <c:pt idx="209">
                  <c:v>889824.58269999991</c:v>
                </c:pt>
                <c:pt idx="210">
                  <c:v>885641.47168000008</c:v>
                </c:pt>
                <c:pt idx="211">
                  <c:v>881092.62471999996</c:v>
                </c:pt>
                <c:pt idx="212">
                  <c:v>904847.02046000003</c:v>
                </c:pt>
                <c:pt idx="213">
                  <c:v>889684.10455999803</c:v>
                </c:pt>
                <c:pt idx="214">
                  <c:v>862670.89657999796</c:v>
                </c:pt>
                <c:pt idx="215">
                  <c:v>868823.01511999802</c:v>
                </c:pt>
                <c:pt idx="216">
                  <c:v>891943.13187999802</c:v>
                </c:pt>
                <c:pt idx="217">
                  <c:v>902959.56155999808</c:v>
                </c:pt>
                <c:pt idx="218">
                  <c:v>908979.66587999801</c:v>
                </c:pt>
                <c:pt idx="219">
                  <c:v>932162.31803999806</c:v>
                </c:pt>
                <c:pt idx="220">
                  <c:v>929240.26363999804</c:v>
                </c:pt>
                <c:pt idx="221">
                  <c:v>929646.01659999811</c:v>
                </c:pt>
                <c:pt idx="222">
                  <c:v>945561.72731999797</c:v>
                </c:pt>
                <c:pt idx="223">
                  <c:v>914287.12637999805</c:v>
                </c:pt>
                <c:pt idx="224">
                  <c:v>910913.92713999806</c:v>
                </c:pt>
                <c:pt idx="225">
                  <c:v>918686.82663999801</c:v>
                </c:pt>
                <c:pt idx="226">
                  <c:v>952005.35727999802</c:v>
                </c:pt>
                <c:pt idx="227">
                  <c:v>902809.49099999794</c:v>
                </c:pt>
                <c:pt idx="228">
                  <c:v>914499.56103999796</c:v>
                </c:pt>
                <c:pt idx="229">
                  <c:v>886947.14893999812</c:v>
                </c:pt>
                <c:pt idx="230">
                  <c:v>898651.93283999804</c:v>
                </c:pt>
                <c:pt idx="231">
                  <c:v>890900.96769999806</c:v>
                </c:pt>
                <c:pt idx="232">
                  <c:v>895452.42477999791</c:v>
                </c:pt>
                <c:pt idx="233">
                  <c:v>962518.94249999803</c:v>
                </c:pt>
                <c:pt idx="234">
                  <c:v>895404.34859999793</c:v>
                </c:pt>
                <c:pt idx="235">
                  <c:v>895157.13147999789</c:v>
                </c:pt>
                <c:pt idx="236">
                  <c:v>928885.7264399979</c:v>
                </c:pt>
                <c:pt idx="237">
                  <c:v>920853.17025999795</c:v>
                </c:pt>
                <c:pt idx="238">
                  <c:v>933758.76239999791</c:v>
                </c:pt>
                <c:pt idx="239">
                  <c:v>944156.68785999808</c:v>
                </c:pt>
                <c:pt idx="240">
                  <c:v>941798.84435999801</c:v>
                </c:pt>
                <c:pt idx="241">
                  <c:v>937170.68529999792</c:v>
                </c:pt>
                <c:pt idx="242">
                  <c:v>951292.76981999795</c:v>
                </c:pt>
                <c:pt idx="243">
                  <c:v>957958.11149999802</c:v>
                </c:pt>
                <c:pt idx="244">
                  <c:v>962831.40369999805</c:v>
                </c:pt>
                <c:pt idx="245">
                  <c:v>968784.37457999797</c:v>
                </c:pt>
                <c:pt idx="246">
                  <c:v>973568.19973999797</c:v>
                </c:pt>
                <c:pt idx="247">
                  <c:v>969190.13193999813</c:v>
                </c:pt>
                <c:pt idx="248">
                  <c:v>992952.47915999801</c:v>
                </c:pt>
                <c:pt idx="249">
                  <c:v>997386.53927999793</c:v>
                </c:pt>
                <c:pt idx="250">
                  <c:v>1000094.7539599979</c:v>
                </c:pt>
                <c:pt idx="251">
                  <c:v>991330.08231999795</c:v>
                </c:pt>
                <c:pt idx="252">
                  <c:v>971769.89749999787</c:v>
                </c:pt>
                <c:pt idx="253">
                  <c:v>954326.989539998</c:v>
                </c:pt>
                <c:pt idx="254">
                  <c:v>942848.23207999801</c:v>
                </c:pt>
                <c:pt idx="255">
                  <c:v>977065.29479999805</c:v>
                </c:pt>
                <c:pt idx="256">
                  <c:v>982500.26885999797</c:v>
                </c:pt>
                <c:pt idx="257">
                  <c:v>968617.49093999807</c:v>
                </c:pt>
                <c:pt idx="258">
                  <c:v>975567.38145999797</c:v>
                </c:pt>
                <c:pt idx="259">
                  <c:v>963929.64099999797</c:v>
                </c:pt>
                <c:pt idx="260">
                  <c:v>995397.56271999795</c:v>
                </c:pt>
                <c:pt idx="261">
                  <c:v>987415.28163999808</c:v>
                </c:pt>
                <c:pt idx="262">
                  <c:v>999308.71911999804</c:v>
                </c:pt>
                <c:pt idx="263">
                  <c:v>983074.71007999801</c:v>
                </c:pt>
                <c:pt idx="264">
                  <c:v>1004991.7177599979</c:v>
                </c:pt>
                <c:pt idx="265">
                  <c:v>1013625.109619998</c:v>
                </c:pt>
                <c:pt idx="266">
                  <c:v>985269.48685999797</c:v>
                </c:pt>
                <c:pt idx="267">
                  <c:v>992312.23141999799</c:v>
                </c:pt>
                <c:pt idx="268">
                  <c:v>1001160.2271799979</c:v>
                </c:pt>
                <c:pt idx="269">
                  <c:v>999640.91351999808</c:v>
                </c:pt>
                <c:pt idx="270">
                  <c:v>997120.03263999801</c:v>
                </c:pt>
                <c:pt idx="271">
                  <c:v>987750.94905999606</c:v>
                </c:pt>
                <c:pt idx="272">
                  <c:v>992760.49137999606</c:v>
                </c:pt>
                <c:pt idx="273">
                  <c:v>989789.62307999807</c:v>
                </c:pt>
                <c:pt idx="274">
                  <c:v>1003227.517139998</c:v>
                </c:pt>
                <c:pt idx="275">
                  <c:v>995295.7931399981</c:v>
                </c:pt>
                <c:pt idx="276">
                  <c:v>1003191.582859996</c:v>
                </c:pt>
                <c:pt idx="277">
                  <c:v>1012383.2064399959</c:v>
                </c:pt>
                <c:pt idx="278">
                  <c:v>1000701.894239996</c:v>
                </c:pt>
                <c:pt idx="279">
                  <c:v>1000311.979199996</c:v>
                </c:pt>
                <c:pt idx="280">
                  <c:v>999644.42895999609</c:v>
                </c:pt>
                <c:pt idx="281">
                  <c:v>992255.28247999609</c:v>
                </c:pt>
                <c:pt idx="282">
                  <c:v>1016945.884599996</c:v>
                </c:pt>
                <c:pt idx="283">
                  <c:v>998210.185659996</c:v>
                </c:pt>
                <c:pt idx="284">
                  <c:v>1019004.989399996</c:v>
                </c:pt>
                <c:pt idx="285">
                  <c:v>1009331.4998799959</c:v>
                </c:pt>
                <c:pt idx="286">
                  <c:v>1012202.275559996</c:v>
                </c:pt>
                <c:pt idx="287">
                  <c:v>982409.64921999595</c:v>
                </c:pt>
                <c:pt idx="288">
                  <c:v>955470.42829999607</c:v>
                </c:pt>
                <c:pt idx="289">
                  <c:v>946164.49759999604</c:v>
                </c:pt>
                <c:pt idx="290">
                  <c:v>962604.083179996</c:v>
                </c:pt>
                <c:pt idx="291">
                  <c:v>955942.67017999606</c:v>
                </c:pt>
                <c:pt idx="292">
                  <c:v>960372.39791999606</c:v>
                </c:pt>
                <c:pt idx="293">
                  <c:v>976348.18415999599</c:v>
                </c:pt>
                <c:pt idx="294">
                  <c:v>971920.24635999592</c:v>
                </c:pt>
                <c:pt idx="295">
                  <c:v>978291.12519999593</c:v>
                </c:pt>
                <c:pt idx="296">
                  <c:v>991259.42991999595</c:v>
                </c:pt>
                <c:pt idx="297">
                  <c:v>986919.09191999608</c:v>
                </c:pt>
                <c:pt idx="298">
                  <c:v>972946.30891999602</c:v>
                </c:pt>
                <c:pt idx="299">
                  <c:v>978542.01031999604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9D-4297-A46A-235352BAFBCD}"/>
            </c:ext>
          </c:extLst>
        </c:ser>
        <c:ser>
          <c:idx val="8"/>
          <c:order val="8"/>
          <c:tx>
            <c:strRef>
              <c:f>创业板!$M$1</c:f>
              <c:strCache>
                <c:ptCount val="1"/>
                <c:pt idx="0">
                  <c:v>MLP_C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创业板!$M$2:$M$302</c:f>
              <c:numCache>
                <c:formatCode>General</c:formatCode>
                <c:ptCount val="301"/>
                <c:pt idx="0">
                  <c:v>1000000</c:v>
                </c:pt>
                <c:pt idx="1">
                  <c:v>1027452.3083</c:v>
                </c:pt>
                <c:pt idx="2">
                  <c:v>985434.9278200001</c:v>
                </c:pt>
                <c:pt idx="3">
                  <c:v>988108.63761999994</c:v>
                </c:pt>
                <c:pt idx="4">
                  <c:v>987982.69055999792</c:v>
                </c:pt>
                <c:pt idx="5">
                  <c:v>979919.10964000004</c:v>
                </c:pt>
                <c:pt idx="6">
                  <c:v>993371.96356000006</c:v>
                </c:pt>
                <c:pt idx="7">
                  <c:v>1009177.76646</c:v>
                </c:pt>
                <c:pt idx="8">
                  <c:v>989667.57745999994</c:v>
                </c:pt>
                <c:pt idx="9">
                  <c:v>977726.58883999998</c:v>
                </c:pt>
                <c:pt idx="10">
                  <c:v>992571.74316000007</c:v>
                </c:pt>
                <c:pt idx="11">
                  <c:v>985693.99294000003</c:v>
                </c:pt>
                <c:pt idx="12">
                  <c:v>965365.39883999992</c:v>
                </c:pt>
                <c:pt idx="13">
                  <c:v>943623.62254000013</c:v>
                </c:pt>
                <c:pt idx="14">
                  <c:v>958113.98849999998</c:v>
                </c:pt>
                <c:pt idx="15">
                  <c:v>986136.39003999997</c:v>
                </c:pt>
                <c:pt idx="16">
                  <c:v>976394.91632000008</c:v>
                </c:pt>
                <c:pt idx="17">
                  <c:v>991199.55700000003</c:v>
                </c:pt>
                <c:pt idx="18">
                  <c:v>990192.26221999992</c:v>
                </c:pt>
                <c:pt idx="19">
                  <c:v>957347.15664000006</c:v>
                </c:pt>
                <c:pt idx="20">
                  <c:v>928322.96473999997</c:v>
                </c:pt>
                <c:pt idx="21">
                  <c:v>919521.87327999994</c:v>
                </c:pt>
                <c:pt idx="22">
                  <c:v>906001.39017999987</c:v>
                </c:pt>
                <c:pt idx="23">
                  <c:v>926714.89854000008</c:v>
                </c:pt>
                <c:pt idx="24">
                  <c:v>901137.83000000007</c:v>
                </c:pt>
                <c:pt idx="25">
                  <c:v>915040.91289999802</c:v>
                </c:pt>
                <c:pt idx="26">
                  <c:v>900974.23429999803</c:v>
                </c:pt>
                <c:pt idx="27">
                  <c:v>920194.75415999792</c:v>
                </c:pt>
                <c:pt idx="28">
                  <c:v>939768.98942000011</c:v>
                </c:pt>
                <c:pt idx="29">
                  <c:v>927165.45288</c:v>
                </c:pt>
                <c:pt idx="30">
                  <c:v>915401.15493999794</c:v>
                </c:pt>
                <c:pt idx="31">
                  <c:v>889764.47413999797</c:v>
                </c:pt>
                <c:pt idx="32">
                  <c:v>863327.97943999991</c:v>
                </c:pt>
                <c:pt idx="33">
                  <c:v>868703.834099998</c:v>
                </c:pt>
                <c:pt idx="34">
                  <c:v>851953.00573999807</c:v>
                </c:pt>
                <c:pt idx="35">
                  <c:v>859650.24631999806</c:v>
                </c:pt>
                <c:pt idx="36">
                  <c:v>836591.75975999807</c:v>
                </c:pt>
                <c:pt idx="37">
                  <c:v>839325.1207599981</c:v>
                </c:pt>
                <c:pt idx="38">
                  <c:v>838167.82125999802</c:v>
                </c:pt>
                <c:pt idx="39">
                  <c:v>830735.29363999807</c:v>
                </c:pt>
                <c:pt idx="40">
                  <c:v>847256.67933999805</c:v>
                </c:pt>
                <c:pt idx="41">
                  <c:v>834892.71269999794</c:v>
                </c:pt>
                <c:pt idx="42">
                  <c:v>809816.51239999803</c:v>
                </c:pt>
                <c:pt idx="43">
                  <c:v>809816.51239999803</c:v>
                </c:pt>
                <c:pt idx="44">
                  <c:v>809816.51239999803</c:v>
                </c:pt>
                <c:pt idx="45">
                  <c:v>809816.51239999803</c:v>
                </c:pt>
                <c:pt idx="46">
                  <c:v>808415.51513999805</c:v>
                </c:pt>
                <c:pt idx="47">
                  <c:v>805715.00947999791</c:v>
                </c:pt>
                <c:pt idx="48">
                  <c:v>800508.49747999804</c:v>
                </c:pt>
                <c:pt idx="49">
                  <c:v>801298.46095999796</c:v>
                </c:pt>
                <c:pt idx="50">
                  <c:v>847403.81681999809</c:v>
                </c:pt>
                <c:pt idx="51">
                  <c:v>833006.81911999802</c:v>
                </c:pt>
                <c:pt idx="52">
                  <c:v>843524.53579999809</c:v>
                </c:pt>
                <c:pt idx="53">
                  <c:v>844563.09563999786</c:v>
                </c:pt>
                <c:pt idx="54">
                  <c:v>841756.42525999807</c:v>
                </c:pt>
                <c:pt idx="55">
                  <c:v>833958.41025999805</c:v>
                </c:pt>
                <c:pt idx="56">
                  <c:v>817747.90235999809</c:v>
                </c:pt>
                <c:pt idx="57">
                  <c:v>814180.60643999802</c:v>
                </c:pt>
                <c:pt idx="58">
                  <c:v>791672.25287999795</c:v>
                </c:pt>
                <c:pt idx="59">
                  <c:v>757952.76113999996</c:v>
                </c:pt>
                <c:pt idx="60">
                  <c:v>763570.76393999998</c:v>
                </c:pt>
                <c:pt idx="61">
                  <c:v>780790.93293999997</c:v>
                </c:pt>
                <c:pt idx="62">
                  <c:v>785044.06388000003</c:v>
                </c:pt>
                <c:pt idx="63">
                  <c:v>761424.26787999994</c:v>
                </c:pt>
                <c:pt idx="64">
                  <c:v>732793.66142000002</c:v>
                </c:pt>
                <c:pt idx="65">
                  <c:v>761759.82579999999</c:v>
                </c:pt>
                <c:pt idx="66">
                  <c:v>768331.12457999995</c:v>
                </c:pt>
                <c:pt idx="67">
                  <c:v>774940.57114000001</c:v>
                </c:pt>
                <c:pt idx="68">
                  <c:v>783204.9473</c:v>
                </c:pt>
                <c:pt idx="69">
                  <c:v>766376.64659999998</c:v>
                </c:pt>
                <c:pt idx="70">
                  <c:v>774017.45659999992</c:v>
                </c:pt>
                <c:pt idx="71">
                  <c:v>778295.34479999996</c:v>
                </c:pt>
                <c:pt idx="72">
                  <c:v>767300.99745999998</c:v>
                </c:pt>
                <c:pt idx="73">
                  <c:v>761709.12889999803</c:v>
                </c:pt>
                <c:pt idx="74">
                  <c:v>749981.37515999796</c:v>
                </c:pt>
                <c:pt idx="75">
                  <c:v>780117.79201999796</c:v>
                </c:pt>
                <c:pt idx="76">
                  <c:v>761549.50557999802</c:v>
                </c:pt>
                <c:pt idx="77">
                  <c:v>766661.15065999806</c:v>
                </c:pt>
                <c:pt idx="78">
                  <c:v>749254.88965999801</c:v>
                </c:pt>
                <c:pt idx="79">
                  <c:v>730989.61483999796</c:v>
                </c:pt>
                <c:pt idx="80">
                  <c:v>706927.56515999802</c:v>
                </c:pt>
                <c:pt idx="81">
                  <c:v>675828.70023999806</c:v>
                </c:pt>
                <c:pt idx="82">
                  <c:v>685833.34821999795</c:v>
                </c:pt>
                <c:pt idx="83">
                  <c:v>668192.70887999795</c:v>
                </c:pt>
                <c:pt idx="84">
                  <c:v>667705.831959998</c:v>
                </c:pt>
                <c:pt idx="85">
                  <c:v>658715.568719998</c:v>
                </c:pt>
                <c:pt idx="86">
                  <c:v>665536.03713999991</c:v>
                </c:pt>
                <c:pt idx="87">
                  <c:v>660292.68341999804</c:v>
                </c:pt>
                <c:pt idx="88">
                  <c:v>645589.55345999799</c:v>
                </c:pt>
                <c:pt idx="89">
                  <c:v>631676.037499998</c:v>
                </c:pt>
                <c:pt idx="90">
                  <c:v>625021.99753999803</c:v>
                </c:pt>
                <c:pt idx="91">
                  <c:v>598048.78919999802</c:v>
                </c:pt>
                <c:pt idx="92">
                  <c:v>585173.70621999796</c:v>
                </c:pt>
                <c:pt idx="93">
                  <c:v>608352.63253999804</c:v>
                </c:pt>
                <c:pt idx="94">
                  <c:v>603171.48555999796</c:v>
                </c:pt>
                <c:pt idx="95">
                  <c:v>623891.71132</c:v>
                </c:pt>
                <c:pt idx="96">
                  <c:v>632392.0564</c:v>
                </c:pt>
                <c:pt idx="97">
                  <c:v>628692.29796</c:v>
                </c:pt>
                <c:pt idx="98">
                  <c:v>631680.19143999997</c:v>
                </c:pt>
                <c:pt idx="99">
                  <c:v>651659.70791999996</c:v>
                </c:pt>
                <c:pt idx="100">
                  <c:v>670052.31025999994</c:v>
                </c:pt>
                <c:pt idx="101">
                  <c:v>674152.15847999998</c:v>
                </c:pt>
                <c:pt idx="102">
                  <c:v>669826.07418</c:v>
                </c:pt>
                <c:pt idx="103">
                  <c:v>665502.50260000001</c:v>
                </c:pt>
                <c:pt idx="104">
                  <c:v>679457.78216000006</c:v>
                </c:pt>
                <c:pt idx="105">
                  <c:v>679621.69579999999</c:v>
                </c:pt>
                <c:pt idx="106">
                  <c:v>681019.1237</c:v>
                </c:pt>
                <c:pt idx="107">
                  <c:v>708361.95178</c:v>
                </c:pt>
                <c:pt idx="108">
                  <c:v>711114.71387999994</c:v>
                </c:pt>
                <c:pt idx="109">
                  <c:v>675862.54122000001</c:v>
                </c:pt>
                <c:pt idx="110">
                  <c:v>683282.23860000004</c:v>
                </c:pt>
                <c:pt idx="111">
                  <c:v>690423.33857999998</c:v>
                </c:pt>
                <c:pt idx="112">
                  <c:v>683540.53541999997</c:v>
                </c:pt>
                <c:pt idx="113">
                  <c:v>696337.26162</c:v>
                </c:pt>
                <c:pt idx="114">
                  <c:v>706584.11443999992</c:v>
                </c:pt>
                <c:pt idx="115">
                  <c:v>704183.10502000002</c:v>
                </c:pt>
                <c:pt idx="116">
                  <c:v>735296.13969999994</c:v>
                </c:pt>
                <c:pt idx="117">
                  <c:v>758559.25618000003</c:v>
                </c:pt>
                <c:pt idx="118">
                  <c:v>751148.48777999997</c:v>
                </c:pt>
                <c:pt idx="119">
                  <c:v>745342.62281999993</c:v>
                </c:pt>
                <c:pt idx="120">
                  <c:v>726769.46851999999</c:v>
                </c:pt>
                <c:pt idx="121">
                  <c:v>742371.6531</c:v>
                </c:pt>
                <c:pt idx="122">
                  <c:v>745679.42391999997</c:v>
                </c:pt>
                <c:pt idx="123">
                  <c:v>762702.15691999998</c:v>
                </c:pt>
                <c:pt idx="124">
                  <c:v>755213.94088000001</c:v>
                </c:pt>
                <c:pt idx="125">
                  <c:v>771778.42093999998</c:v>
                </c:pt>
                <c:pt idx="126">
                  <c:v>786432.26312000002</c:v>
                </c:pt>
                <c:pt idx="127">
                  <c:v>795837.33459999994</c:v>
                </c:pt>
                <c:pt idx="128">
                  <c:v>787574.67735999997</c:v>
                </c:pt>
                <c:pt idx="129">
                  <c:v>796202.48497999995</c:v>
                </c:pt>
                <c:pt idx="130">
                  <c:v>832932.21901999996</c:v>
                </c:pt>
                <c:pt idx="131">
                  <c:v>831439.84256000002</c:v>
                </c:pt>
                <c:pt idx="132">
                  <c:v>836799.14677999995</c:v>
                </c:pt>
                <c:pt idx="133">
                  <c:v>838339.72951999994</c:v>
                </c:pt>
                <c:pt idx="134">
                  <c:v>821603.44500000007</c:v>
                </c:pt>
                <c:pt idx="135">
                  <c:v>833539.09493999998</c:v>
                </c:pt>
                <c:pt idx="136">
                  <c:v>838832.14034000004</c:v>
                </c:pt>
                <c:pt idx="137">
                  <c:v>854997.93067999999</c:v>
                </c:pt>
                <c:pt idx="138">
                  <c:v>839243.52921999991</c:v>
                </c:pt>
                <c:pt idx="139">
                  <c:v>846149.44037999993</c:v>
                </c:pt>
                <c:pt idx="140">
                  <c:v>861808.47936</c:v>
                </c:pt>
                <c:pt idx="141">
                  <c:v>852234.84201999998</c:v>
                </c:pt>
                <c:pt idx="142">
                  <c:v>864617.75554000004</c:v>
                </c:pt>
                <c:pt idx="143">
                  <c:v>834309.06560000009</c:v>
                </c:pt>
                <c:pt idx="144">
                  <c:v>844090.08783999993</c:v>
                </c:pt>
                <c:pt idx="145">
                  <c:v>869470.63797999988</c:v>
                </c:pt>
                <c:pt idx="146">
                  <c:v>862383.21554</c:v>
                </c:pt>
                <c:pt idx="147">
                  <c:v>879191.47432000004</c:v>
                </c:pt>
                <c:pt idx="148">
                  <c:v>877557.08851999999</c:v>
                </c:pt>
                <c:pt idx="149">
                  <c:v>896449.86899999995</c:v>
                </c:pt>
                <c:pt idx="150">
                  <c:v>894579.16302000009</c:v>
                </c:pt>
                <c:pt idx="151">
                  <c:v>877948.35204000003</c:v>
                </c:pt>
                <c:pt idx="152">
                  <c:v>869713.03266000003</c:v>
                </c:pt>
                <c:pt idx="153">
                  <c:v>868513.87080000003</c:v>
                </c:pt>
                <c:pt idx="154">
                  <c:v>878773.03252000012</c:v>
                </c:pt>
                <c:pt idx="155">
                  <c:v>890310.88416000013</c:v>
                </c:pt>
                <c:pt idx="156">
                  <c:v>880057.25842000009</c:v>
                </c:pt>
                <c:pt idx="157">
                  <c:v>884882.61730000004</c:v>
                </c:pt>
                <c:pt idx="158">
                  <c:v>873868.2045600001</c:v>
                </c:pt>
                <c:pt idx="159">
                  <c:v>858191.75666000007</c:v>
                </c:pt>
                <c:pt idx="160">
                  <c:v>866612.50678000005</c:v>
                </c:pt>
                <c:pt idx="161">
                  <c:v>887029.33819999988</c:v>
                </c:pt>
                <c:pt idx="162">
                  <c:v>904360.14538</c:v>
                </c:pt>
                <c:pt idx="163">
                  <c:v>913274.61994</c:v>
                </c:pt>
                <c:pt idx="164">
                  <c:v>914969.56067999988</c:v>
                </c:pt>
                <c:pt idx="165">
                  <c:v>924223.38313999993</c:v>
                </c:pt>
                <c:pt idx="166">
                  <c:v>907201.66415999993</c:v>
                </c:pt>
                <c:pt idx="167">
                  <c:v>913805.06537999993</c:v>
                </c:pt>
                <c:pt idx="168">
                  <c:v>916227.90396000003</c:v>
                </c:pt>
                <c:pt idx="169">
                  <c:v>913625.35629999987</c:v>
                </c:pt>
                <c:pt idx="170">
                  <c:v>917725.48655999987</c:v>
                </c:pt>
                <c:pt idx="171">
                  <c:v>891206.36057999986</c:v>
                </c:pt>
                <c:pt idx="172">
                  <c:v>899284.87473999802</c:v>
                </c:pt>
                <c:pt idx="173">
                  <c:v>895215.50346000004</c:v>
                </c:pt>
                <c:pt idx="174">
                  <c:v>863396.46893999795</c:v>
                </c:pt>
                <c:pt idx="175">
                  <c:v>851162.90953999793</c:v>
                </c:pt>
                <c:pt idx="176">
                  <c:v>841416.95981999801</c:v>
                </c:pt>
                <c:pt idx="177">
                  <c:v>851039.09013999999</c:v>
                </c:pt>
                <c:pt idx="178">
                  <c:v>844973.3926999981</c:v>
                </c:pt>
                <c:pt idx="179">
                  <c:v>822968.88059999805</c:v>
                </c:pt>
                <c:pt idx="180">
                  <c:v>823539.36769999797</c:v>
                </c:pt>
                <c:pt idx="181">
                  <c:v>827125.38153999799</c:v>
                </c:pt>
                <c:pt idx="182">
                  <c:v>831768.55955999799</c:v>
                </c:pt>
                <c:pt idx="183">
                  <c:v>850166.00051999802</c:v>
                </c:pt>
                <c:pt idx="184">
                  <c:v>868772.67565999797</c:v>
                </c:pt>
                <c:pt idx="185">
                  <c:v>855827.99637999793</c:v>
                </c:pt>
                <c:pt idx="186">
                  <c:v>868132.21111999801</c:v>
                </c:pt>
                <c:pt idx="187">
                  <c:v>856441.41165999812</c:v>
                </c:pt>
                <c:pt idx="188">
                  <c:v>868855.19879999792</c:v>
                </c:pt>
                <c:pt idx="189">
                  <c:v>835287.41675999796</c:v>
                </c:pt>
                <c:pt idx="190">
                  <c:v>828880.53563999804</c:v>
                </c:pt>
                <c:pt idx="191">
                  <c:v>813803.02337999805</c:v>
                </c:pt>
                <c:pt idx="192">
                  <c:v>825501.47591999802</c:v>
                </c:pt>
                <c:pt idx="193">
                  <c:v>801471.53903999808</c:v>
                </c:pt>
                <c:pt idx="194">
                  <c:v>814734.09551999799</c:v>
                </c:pt>
                <c:pt idx="195">
                  <c:v>786996.66071999795</c:v>
                </c:pt>
                <c:pt idx="196">
                  <c:v>789145.39865999797</c:v>
                </c:pt>
                <c:pt idx="197">
                  <c:v>820597.78179999802</c:v>
                </c:pt>
                <c:pt idx="198">
                  <c:v>798521.99747999804</c:v>
                </c:pt>
                <c:pt idx="199">
                  <c:v>804140.10449999804</c:v>
                </c:pt>
                <c:pt idx="200">
                  <c:v>787139.30927999807</c:v>
                </c:pt>
                <c:pt idx="201">
                  <c:v>802367.23013999802</c:v>
                </c:pt>
                <c:pt idx="202">
                  <c:v>818264.10379999806</c:v>
                </c:pt>
                <c:pt idx="203">
                  <c:v>826183.87415999803</c:v>
                </c:pt>
                <c:pt idx="204">
                  <c:v>843205.22431999794</c:v>
                </c:pt>
                <c:pt idx="205">
                  <c:v>846143.57425999804</c:v>
                </c:pt>
                <c:pt idx="206">
                  <c:v>854545.01707999804</c:v>
                </c:pt>
                <c:pt idx="207">
                  <c:v>854433.22441999801</c:v>
                </c:pt>
                <c:pt idx="208">
                  <c:v>842841.39921999793</c:v>
                </c:pt>
                <c:pt idx="209">
                  <c:v>844743.860699996</c:v>
                </c:pt>
                <c:pt idx="210">
                  <c:v>836391.88037999603</c:v>
                </c:pt>
                <c:pt idx="211">
                  <c:v>830749.58597999602</c:v>
                </c:pt>
                <c:pt idx="212">
                  <c:v>851473.12173999602</c:v>
                </c:pt>
                <c:pt idx="213">
                  <c:v>837135.41525999596</c:v>
                </c:pt>
                <c:pt idx="214">
                  <c:v>810570.57417999604</c:v>
                </c:pt>
                <c:pt idx="215">
                  <c:v>816045.96659999597</c:v>
                </c:pt>
                <c:pt idx="216">
                  <c:v>834847.35615999601</c:v>
                </c:pt>
                <c:pt idx="217">
                  <c:v>837250.52331999596</c:v>
                </c:pt>
                <c:pt idx="218">
                  <c:v>844808.21001999604</c:v>
                </c:pt>
                <c:pt idx="219">
                  <c:v>861719.63033999596</c:v>
                </c:pt>
                <c:pt idx="220">
                  <c:v>850901.75049999601</c:v>
                </c:pt>
                <c:pt idx="221">
                  <c:v>851821.23999999592</c:v>
                </c:pt>
                <c:pt idx="222">
                  <c:v>880576.70995999593</c:v>
                </c:pt>
                <c:pt idx="223">
                  <c:v>850049.595899996</c:v>
                </c:pt>
                <c:pt idx="224">
                  <c:v>845639.57707999588</c:v>
                </c:pt>
                <c:pt idx="225">
                  <c:v>850345.59055999597</c:v>
                </c:pt>
                <c:pt idx="226">
                  <c:v>878223.16575999593</c:v>
                </c:pt>
                <c:pt idx="227">
                  <c:v>872105.55755999591</c:v>
                </c:pt>
                <c:pt idx="228">
                  <c:v>892500.19385999604</c:v>
                </c:pt>
                <c:pt idx="229">
                  <c:v>865605.89791999606</c:v>
                </c:pt>
                <c:pt idx="230">
                  <c:v>878079.66233999596</c:v>
                </c:pt>
                <c:pt idx="231">
                  <c:v>870498.07721999602</c:v>
                </c:pt>
                <c:pt idx="232">
                  <c:v>873170.80063999596</c:v>
                </c:pt>
                <c:pt idx="233">
                  <c:v>938473.21125999594</c:v>
                </c:pt>
                <c:pt idx="234">
                  <c:v>873032.89275999588</c:v>
                </c:pt>
                <c:pt idx="235">
                  <c:v>872797.98521999607</c:v>
                </c:pt>
                <c:pt idx="236">
                  <c:v>877568.62001999596</c:v>
                </c:pt>
                <c:pt idx="237">
                  <c:v>871810.10565999593</c:v>
                </c:pt>
                <c:pt idx="238">
                  <c:v>896584.84223999607</c:v>
                </c:pt>
                <c:pt idx="239">
                  <c:v>906597.17835999595</c:v>
                </c:pt>
                <c:pt idx="240">
                  <c:v>901255.90141999593</c:v>
                </c:pt>
                <c:pt idx="241">
                  <c:v>896832.62535999599</c:v>
                </c:pt>
                <c:pt idx="242">
                  <c:v>908491.75091999606</c:v>
                </c:pt>
                <c:pt idx="243">
                  <c:v>923452.27267999598</c:v>
                </c:pt>
                <c:pt idx="244">
                  <c:v>933875.674299996</c:v>
                </c:pt>
                <c:pt idx="245">
                  <c:v>942832.84815999609</c:v>
                </c:pt>
                <c:pt idx="246">
                  <c:v>950875.36459999601</c:v>
                </c:pt>
                <c:pt idx="247">
                  <c:v>942122.05177999602</c:v>
                </c:pt>
                <c:pt idx="248">
                  <c:v>964961.47491999599</c:v>
                </c:pt>
                <c:pt idx="249">
                  <c:v>973057.40659999603</c:v>
                </c:pt>
                <c:pt idx="250">
                  <c:v>975691.37949999608</c:v>
                </c:pt>
                <c:pt idx="251">
                  <c:v>967176.60931999609</c:v>
                </c:pt>
                <c:pt idx="252">
                  <c:v>948082.99063999602</c:v>
                </c:pt>
                <c:pt idx="253">
                  <c:v>931070.75635999604</c:v>
                </c:pt>
                <c:pt idx="254">
                  <c:v>919885.28609999607</c:v>
                </c:pt>
                <c:pt idx="255">
                  <c:v>953202.24813999608</c:v>
                </c:pt>
                <c:pt idx="256">
                  <c:v>956316.63321999589</c:v>
                </c:pt>
                <c:pt idx="257">
                  <c:v>942857.55877999612</c:v>
                </c:pt>
                <c:pt idx="258">
                  <c:v>949648.09929999593</c:v>
                </c:pt>
                <c:pt idx="259">
                  <c:v>938333.97859999596</c:v>
                </c:pt>
                <c:pt idx="260">
                  <c:v>968996.367579996</c:v>
                </c:pt>
                <c:pt idx="261">
                  <c:v>972990.16809999605</c:v>
                </c:pt>
                <c:pt idx="262">
                  <c:v>975013.48131999595</c:v>
                </c:pt>
                <c:pt idx="263">
                  <c:v>960003.99147999601</c:v>
                </c:pt>
                <c:pt idx="264">
                  <c:v>972629.31537999609</c:v>
                </c:pt>
                <c:pt idx="265">
                  <c:v>964067.28693999595</c:v>
                </c:pt>
                <c:pt idx="266">
                  <c:v>929131.43765999598</c:v>
                </c:pt>
                <c:pt idx="267">
                  <c:v>936543.681959996</c:v>
                </c:pt>
                <c:pt idx="268">
                  <c:v>942314.93745999597</c:v>
                </c:pt>
                <c:pt idx="269">
                  <c:v>945473.74673999602</c:v>
                </c:pt>
                <c:pt idx="270">
                  <c:v>946288.30955999601</c:v>
                </c:pt>
                <c:pt idx="271">
                  <c:v>937371.67713999597</c:v>
                </c:pt>
                <c:pt idx="272">
                  <c:v>941773.91231999604</c:v>
                </c:pt>
                <c:pt idx="273">
                  <c:v>942990.15539999609</c:v>
                </c:pt>
                <c:pt idx="274">
                  <c:v>955258.60643999593</c:v>
                </c:pt>
                <c:pt idx="275">
                  <c:v>950157.09375999612</c:v>
                </c:pt>
                <c:pt idx="276">
                  <c:v>959910.94021999591</c:v>
                </c:pt>
                <c:pt idx="277">
                  <c:v>968670.02887999604</c:v>
                </c:pt>
                <c:pt idx="278">
                  <c:v>957514.04461999587</c:v>
                </c:pt>
                <c:pt idx="279">
                  <c:v>957118.04873999604</c:v>
                </c:pt>
                <c:pt idx="280">
                  <c:v>956993.538979996</c:v>
                </c:pt>
                <c:pt idx="281">
                  <c:v>949937.42543999606</c:v>
                </c:pt>
                <c:pt idx="282">
                  <c:v>973556.24659999611</c:v>
                </c:pt>
                <c:pt idx="283">
                  <c:v>955626.02407999593</c:v>
                </c:pt>
                <c:pt idx="284">
                  <c:v>975693.68835999595</c:v>
                </c:pt>
                <c:pt idx="285">
                  <c:v>971606.74983999599</c:v>
                </c:pt>
                <c:pt idx="286">
                  <c:v>974501.53909999598</c:v>
                </c:pt>
                <c:pt idx="287">
                  <c:v>945806.02783999592</c:v>
                </c:pt>
                <c:pt idx="288">
                  <c:v>919894.61539999605</c:v>
                </c:pt>
                <c:pt idx="289">
                  <c:v>906742.39239999594</c:v>
                </c:pt>
                <c:pt idx="290">
                  <c:v>922496.20075999596</c:v>
                </c:pt>
                <c:pt idx="291">
                  <c:v>916113.24953999592</c:v>
                </c:pt>
                <c:pt idx="292">
                  <c:v>920343.21399999596</c:v>
                </c:pt>
                <c:pt idx="293">
                  <c:v>935669.01195999607</c:v>
                </c:pt>
                <c:pt idx="294">
                  <c:v>939804.92719999608</c:v>
                </c:pt>
                <c:pt idx="295">
                  <c:v>945967.38591999596</c:v>
                </c:pt>
                <c:pt idx="296">
                  <c:v>955952.09869999602</c:v>
                </c:pt>
                <c:pt idx="297">
                  <c:v>963381.99153999588</c:v>
                </c:pt>
                <c:pt idx="298">
                  <c:v>952428.78105999599</c:v>
                </c:pt>
                <c:pt idx="299">
                  <c:v>970163.39987999597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9D-4297-A46A-235352BAFBCD}"/>
            </c:ext>
          </c:extLst>
        </c:ser>
        <c:ser>
          <c:idx val="9"/>
          <c:order val="9"/>
          <c:tx>
            <c:strRef>
              <c:f>创业板!$N$1</c:f>
              <c:strCache>
                <c:ptCount val="1"/>
                <c:pt idx="0">
                  <c:v>XGBoost_C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创业板!$N$2:$N$302</c:f>
              <c:numCache>
                <c:formatCode>General</c:formatCode>
                <c:ptCount val="301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1056790.7308</c:v>
                </c:pt>
                <c:pt idx="4">
                  <c:v>1056790.7308</c:v>
                </c:pt>
                <c:pt idx="5">
                  <c:v>1058396.8407999999</c:v>
                </c:pt>
                <c:pt idx="6">
                  <c:v>1058396.8407999999</c:v>
                </c:pt>
                <c:pt idx="7">
                  <c:v>1077677.7122800001</c:v>
                </c:pt>
                <c:pt idx="8">
                  <c:v>1034277.4705000001</c:v>
                </c:pt>
                <c:pt idx="9">
                  <c:v>1062920.2904799979</c:v>
                </c:pt>
                <c:pt idx="10">
                  <c:v>1069168.3528799999</c:v>
                </c:pt>
                <c:pt idx="11">
                  <c:v>1068553.5964800001</c:v>
                </c:pt>
                <c:pt idx="12">
                  <c:v>1064788.0225399979</c:v>
                </c:pt>
                <c:pt idx="13">
                  <c:v>1048494.49434</c:v>
                </c:pt>
                <c:pt idx="14">
                  <c:v>1093748.771139998</c:v>
                </c:pt>
                <c:pt idx="15">
                  <c:v>1176870.4160599981</c:v>
                </c:pt>
                <c:pt idx="16">
                  <c:v>1192635.889479998</c:v>
                </c:pt>
                <c:pt idx="17">
                  <c:v>1235810.0220399979</c:v>
                </c:pt>
                <c:pt idx="18">
                  <c:v>1212639.4608199981</c:v>
                </c:pt>
                <c:pt idx="19">
                  <c:v>1164907.0451199999</c:v>
                </c:pt>
                <c:pt idx="20">
                  <c:v>1139594.21398</c:v>
                </c:pt>
                <c:pt idx="21">
                  <c:v>1147669.7318599981</c:v>
                </c:pt>
                <c:pt idx="22">
                  <c:v>1126465.9810399979</c:v>
                </c:pt>
                <c:pt idx="23">
                  <c:v>1160403.731599998</c:v>
                </c:pt>
                <c:pt idx="24">
                  <c:v>1125272.260799998</c:v>
                </c:pt>
                <c:pt idx="25">
                  <c:v>1147887.6902799981</c:v>
                </c:pt>
                <c:pt idx="26">
                  <c:v>1129551.6532400001</c:v>
                </c:pt>
                <c:pt idx="27">
                  <c:v>1157852.12326</c:v>
                </c:pt>
                <c:pt idx="28">
                  <c:v>1185185.5833399999</c:v>
                </c:pt>
                <c:pt idx="29">
                  <c:v>1174867.6367599999</c:v>
                </c:pt>
                <c:pt idx="30">
                  <c:v>1156933.50064</c:v>
                </c:pt>
                <c:pt idx="31">
                  <c:v>1125269.1564</c:v>
                </c:pt>
                <c:pt idx="32">
                  <c:v>1109707.64014</c:v>
                </c:pt>
                <c:pt idx="33">
                  <c:v>1118743.78844</c:v>
                </c:pt>
                <c:pt idx="34">
                  <c:v>1090383.710479998</c:v>
                </c:pt>
                <c:pt idx="35">
                  <c:v>1094084.239219998</c:v>
                </c:pt>
                <c:pt idx="36">
                  <c:v>1058746.4634799981</c:v>
                </c:pt>
                <c:pt idx="37">
                  <c:v>1059206.010259998</c:v>
                </c:pt>
                <c:pt idx="38">
                  <c:v>1062465.013279998</c:v>
                </c:pt>
                <c:pt idx="39">
                  <c:v>1050596.3433199979</c:v>
                </c:pt>
                <c:pt idx="40">
                  <c:v>1076284.5401999981</c:v>
                </c:pt>
                <c:pt idx="41">
                  <c:v>1058332.1566399981</c:v>
                </c:pt>
                <c:pt idx="42">
                  <c:v>1027069.1329399981</c:v>
                </c:pt>
                <c:pt idx="43">
                  <c:v>1027069.1329399981</c:v>
                </c:pt>
                <c:pt idx="44">
                  <c:v>1027069.1329399981</c:v>
                </c:pt>
                <c:pt idx="45">
                  <c:v>1027069.1329399981</c:v>
                </c:pt>
                <c:pt idx="46">
                  <c:v>1024860.959159998</c:v>
                </c:pt>
                <c:pt idx="47">
                  <c:v>1022618.092779998</c:v>
                </c:pt>
                <c:pt idx="48">
                  <c:v>1016496.3654799979</c:v>
                </c:pt>
                <c:pt idx="49">
                  <c:v>1016803.3908999979</c:v>
                </c:pt>
                <c:pt idx="50">
                  <c:v>1073873.7412799981</c:v>
                </c:pt>
                <c:pt idx="51">
                  <c:v>1058976.1726399981</c:v>
                </c:pt>
                <c:pt idx="52">
                  <c:v>1073071.692899998</c:v>
                </c:pt>
                <c:pt idx="53">
                  <c:v>1076462.6401399979</c:v>
                </c:pt>
                <c:pt idx="54">
                  <c:v>1073615.014139998</c:v>
                </c:pt>
                <c:pt idx="55">
                  <c:v>1067805.449559998</c:v>
                </c:pt>
                <c:pt idx="56">
                  <c:v>1045520.568259998</c:v>
                </c:pt>
                <c:pt idx="57">
                  <c:v>1037206.4092199979</c:v>
                </c:pt>
                <c:pt idx="58">
                  <c:v>1004869.653439998</c:v>
                </c:pt>
                <c:pt idx="59">
                  <c:v>977028.22255999804</c:v>
                </c:pt>
                <c:pt idx="60">
                  <c:v>996964.11176</c:v>
                </c:pt>
                <c:pt idx="61">
                  <c:v>1031617.98972</c:v>
                </c:pt>
                <c:pt idx="62">
                  <c:v>1033052.89086</c:v>
                </c:pt>
                <c:pt idx="63">
                  <c:v>997566.88954000012</c:v>
                </c:pt>
                <c:pt idx="64">
                  <c:v>969359.41420000012</c:v>
                </c:pt>
                <c:pt idx="65">
                  <c:v>1004083.57892</c:v>
                </c:pt>
                <c:pt idx="66">
                  <c:v>1016359.49266</c:v>
                </c:pt>
                <c:pt idx="67">
                  <c:v>1044466.96962</c:v>
                </c:pt>
                <c:pt idx="68">
                  <c:v>1054208.0940599979</c:v>
                </c:pt>
                <c:pt idx="69">
                  <c:v>1038667.1768599979</c:v>
                </c:pt>
                <c:pt idx="70">
                  <c:v>1045594.002919998</c:v>
                </c:pt>
                <c:pt idx="71">
                  <c:v>1060442.5323199979</c:v>
                </c:pt>
                <c:pt idx="72">
                  <c:v>1044631.060939998</c:v>
                </c:pt>
                <c:pt idx="73">
                  <c:v>1035020.322439998</c:v>
                </c:pt>
                <c:pt idx="74">
                  <c:v>1018237.99592</c:v>
                </c:pt>
                <c:pt idx="75">
                  <c:v>1049967.0271000001</c:v>
                </c:pt>
                <c:pt idx="76">
                  <c:v>1028394.71494</c:v>
                </c:pt>
                <c:pt idx="77">
                  <c:v>1034562.4200200001</c:v>
                </c:pt>
                <c:pt idx="78">
                  <c:v>1011451.0623199999</c:v>
                </c:pt>
                <c:pt idx="79">
                  <c:v>991433.40969999996</c:v>
                </c:pt>
                <c:pt idx="80">
                  <c:v>963233.76798</c:v>
                </c:pt>
                <c:pt idx="81">
                  <c:v>923879.46649999986</c:v>
                </c:pt>
                <c:pt idx="82">
                  <c:v>936538.8030999999</c:v>
                </c:pt>
                <c:pt idx="83">
                  <c:v>914079.00297999999</c:v>
                </c:pt>
                <c:pt idx="84">
                  <c:v>914335.90840000007</c:v>
                </c:pt>
                <c:pt idx="85">
                  <c:v>897871.98144</c:v>
                </c:pt>
                <c:pt idx="86">
                  <c:v>905460.27523999999</c:v>
                </c:pt>
                <c:pt idx="87">
                  <c:v>899033.90475999995</c:v>
                </c:pt>
                <c:pt idx="88">
                  <c:v>879254.7755799999</c:v>
                </c:pt>
                <c:pt idx="89">
                  <c:v>859090.87821999996</c:v>
                </c:pt>
                <c:pt idx="90">
                  <c:v>850008.52304</c:v>
                </c:pt>
                <c:pt idx="91">
                  <c:v>803490.60537999996</c:v>
                </c:pt>
                <c:pt idx="92">
                  <c:v>788633.77176000003</c:v>
                </c:pt>
                <c:pt idx="93">
                  <c:v>819901.15434000001</c:v>
                </c:pt>
                <c:pt idx="94">
                  <c:v>810254.01793999993</c:v>
                </c:pt>
                <c:pt idx="95">
                  <c:v>843169.81848000013</c:v>
                </c:pt>
                <c:pt idx="96">
                  <c:v>853035.39659999998</c:v>
                </c:pt>
                <c:pt idx="97">
                  <c:v>848878.2522600001</c:v>
                </c:pt>
                <c:pt idx="98">
                  <c:v>851239.19908000005</c:v>
                </c:pt>
                <c:pt idx="99">
                  <c:v>877942.73746000009</c:v>
                </c:pt>
                <c:pt idx="100">
                  <c:v>894657.52643999993</c:v>
                </c:pt>
                <c:pt idx="101">
                  <c:v>896876.64589999802</c:v>
                </c:pt>
                <c:pt idx="102">
                  <c:v>895705.53943999799</c:v>
                </c:pt>
                <c:pt idx="103">
                  <c:v>890087.78875999991</c:v>
                </c:pt>
                <c:pt idx="104">
                  <c:v>908308.01919999998</c:v>
                </c:pt>
                <c:pt idx="105">
                  <c:v>903915.36049999797</c:v>
                </c:pt>
                <c:pt idx="106">
                  <c:v>906748.75843999791</c:v>
                </c:pt>
                <c:pt idx="107">
                  <c:v>927895.639199998</c:v>
                </c:pt>
                <c:pt idx="108">
                  <c:v>942292.86106000002</c:v>
                </c:pt>
                <c:pt idx="109">
                  <c:v>894189.43093999999</c:v>
                </c:pt>
                <c:pt idx="110">
                  <c:v>906495.90613999998</c:v>
                </c:pt>
                <c:pt idx="111">
                  <c:v>902293.90844000003</c:v>
                </c:pt>
                <c:pt idx="112">
                  <c:v>891933.90850000014</c:v>
                </c:pt>
                <c:pt idx="113">
                  <c:v>911372.77821999998</c:v>
                </c:pt>
                <c:pt idx="114">
                  <c:v>916629.37795999995</c:v>
                </c:pt>
                <c:pt idx="115">
                  <c:v>920229.37276000006</c:v>
                </c:pt>
                <c:pt idx="116">
                  <c:v>962731.39030000009</c:v>
                </c:pt>
                <c:pt idx="117">
                  <c:v>985952.14714000002</c:v>
                </c:pt>
                <c:pt idx="118">
                  <c:v>991642.98893999995</c:v>
                </c:pt>
                <c:pt idx="119">
                  <c:v>980686.91486000014</c:v>
                </c:pt>
                <c:pt idx="120">
                  <c:v>947325.56483999989</c:v>
                </c:pt>
                <c:pt idx="121">
                  <c:v>968745.33189999999</c:v>
                </c:pt>
                <c:pt idx="122">
                  <c:v>969694.06070000003</c:v>
                </c:pt>
                <c:pt idx="123">
                  <c:v>968910.59570000006</c:v>
                </c:pt>
                <c:pt idx="124">
                  <c:v>962486.80267999996</c:v>
                </c:pt>
                <c:pt idx="125">
                  <c:v>959122.40074000007</c:v>
                </c:pt>
                <c:pt idx="126">
                  <c:v>974756.18834000011</c:v>
                </c:pt>
                <c:pt idx="127">
                  <c:v>980153.0932</c:v>
                </c:pt>
                <c:pt idx="128">
                  <c:v>965629.14439999999</c:v>
                </c:pt>
                <c:pt idx="129">
                  <c:v>957558.28487999993</c:v>
                </c:pt>
                <c:pt idx="130">
                  <c:v>993313.26020000002</c:v>
                </c:pt>
                <c:pt idx="131">
                  <c:v>981893.70182000007</c:v>
                </c:pt>
                <c:pt idx="132">
                  <c:v>999393.75801999995</c:v>
                </c:pt>
                <c:pt idx="133">
                  <c:v>993422.84140000003</c:v>
                </c:pt>
                <c:pt idx="134">
                  <c:v>964140.12276000006</c:v>
                </c:pt>
                <c:pt idx="135">
                  <c:v>974093.25705999997</c:v>
                </c:pt>
                <c:pt idx="136">
                  <c:v>981997.82119999989</c:v>
                </c:pt>
                <c:pt idx="137">
                  <c:v>1002421.9850400001</c:v>
                </c:pt>
                <c:pt idx="138">
                  <c:v>983318.11853999994</c:v>
                </c:pt>
                <c:pt idx="139">
                  <c:v>982323.71693999995</c:v>
                </c:pt>
                <c:pt idx="140">
                  <c:v>1001104.5069800001</c:v>
                </c:pt>
                <c:pt idx="141">
                  <c:v>983979.88986000011</c:v>
                </c:pt>
                <c:pt idx="142">
                  <c:v>977062.55380000011</c:v>
                </c:pt>
                <c:pt idx="143">
                  <c:v>940456.96809999994</c:v>
                </c:pt>
                <c:pt idx="144">
                  <c:v>945123.42953999992</c:v>
                </c:pt>
                <c:pt idx="145">
                  <c:v>973773.79878000007</c:v>
                </c:pt>
                <c:pt idx="146">
                  <c:v>960308.95955999999</c:v>
                </c:pt>
                <c:pt idx="147">
                  <c:v>973768.08207999798</c:v>
                </c:pt>
                <c:pt idx="148">
                  <c:v>969814.87257999799</c:v>
                </c:pt>
                <c:pt idx="149">
                  <c:v>992637.96025999798</c:v>
                </c:pt>
                <c:pt idx="150">
                  <c:v>985328.14879999997</c:v>
                </c:pt>
                <c:pt idx="151">
                  <c:v>969599.46531999798</c:v>
                </c:pt>
                <c:pt idx="152">
                  <c:v>960659.65787999798</c:v>
                </c:pt>
                <c:pt idx="153">
                  <c:v>961769.82163999812</c:v>
                </c:pt>
                <c:pt idx="154">
                  <c:v>982987.62015999795</c:v>
                </c:pt>
                <c:pt idx="155">
                  <c:v>997154.853699998</c:v>
                </c:pt>
                <c:pt idx="156">
                  <c:v>978350.12715999805</c:v>
                </c:pt>
                <c:pt idx="157">
                  <c:v>984713.79821999802</c:v>
                </c:pt>
                <c:pt idx="158">
                  <c:v>958594.47951999796</c:v>
                </c:pt>
                <c:pt idx="159">
                  <c:v>941733.62607999798</c:v>
                </c:pt>
                <c:pt idx="160">
                  <c:v>944390.20825999812</c:v>
                </c:pt>
                <c:pt idx="161">
                  <c:v>971077.03725999803</c:v>
                </c:pt>
                <c:pt idx="162">
                  <c:v>980974.099739998</c:v>
                </c:pt>
                <c:pt idx="163">
                  <c:v>981993.96069999808</c:v>
                </c:pt>
                <c:pt idx="164">
                  <c:v>980033.41833999811</c:v>
                </c:pt>
                <c:pt idx="165">
                  <c:v>980887.74453999789</c:v>
                </c:pt>
                <c:pt idx="166">
                  <c:v>967670.88629999792</c:v>
                </c:pt>
                <c:pt idx="167">
                  <c:v>973813.36181999801</c:v>
                </c:pt>
                <c:pt idx="168">
                  <c:v>962827.26147999801</c:v>
                </c:pt>
                <c:pt idx="169">
                  <c:v>954425.66709999996</c:v>
                </c:pt>
                <c:pt idx="170">
                  <c:v>953044.01158000005</c:v>
                </c:pt>
                <c:pt idx="171">
                  <c:v>934625.4609200001</c:v>
                </c:pt>
                <c:pt idx="172">
                  <c:v>947102.06253999996</c:v>
                </c:pt>
                <c:pt idx="173">
                  <c:v>938157.91630000004</c:v>
                </c:pt>
                <c:pt idx="174">
                  <c:v>902446.14162000013</c:v>
                </c:pt>
                <c:pt idx="175">
                  <c:v>887642.91026000003</c:v>
                </c:pt>
                <c:pt idx="176">
                  <c:v>877880.02897999994</c:v>
                </c:pt>
                <c:pt idx="177">
                  <c:v>881513.06493999995</c:v>
                </c:pt>
                <c:pt idx="178">
                  <c:v>875737.930500002</c:v>
                </c:pt>
                <c:pt idx="179">
                  <c:v>856805.69910000206</c:v>
                </c:pt>
                <c:pt idx="180">
                  <c:v>853975.02440000197</c:v>
                </c:pt>
                <c:pt idx="181">
                  <c:v>858667.50294000213</c:v>
                </c:pt>
                <c:pt idx="182">
                  <c:v>858658.9568600019</c:v>
                </c:pt>
                <c:pt idx="183">
                  <c:v>873594.65490000194</c:v>
                </c:pt>
                <c:pt idx="184">
                  <c:v>892786.59392000199</c:v>
                </c:pt>
                <c:pt idx="185">
                  <c:v>886903.36614000204</c:v>
                </c:pt>
                <c:pt idx="186">
                  <c:v>892489.81074000208</c:v>
                </c:pt>
                <c:pt idx="187">
                  <c:v>888968.55054000206</c:v>
                </c:pt>
                <c:pt idx="188">
                  <c:v>895835.65890000202</c:v>
                </c:pt>
                <c:pt idx="189">
                  <c:v>865344.91738000198</c:v>
                </c:pt>
                <c:pt idx="190">
                  <c:v>856621.96954000206</c:v>
                </c:pt>
                <c:pt idx="191">
                  <c:v>838533.41290000197</c:v>
                </c:pt>
                <c:pt idx="192">
                  <c:v>856152.02568000206</c:v>
                </c:pt>
                <c:pt idx="193">
                  <c:v>833733.56768000196</c:v>
                </c:pt>
                <c:pt idx="194">
                  <c:v>852531.57612000196</c:v>
                </c:pt>
                <c:pt idx="195">
                  <c:v>824997.60196000198</c:v>
                </c:pt>
                <c:pt idx="196">
                  <c:v>823654.47694000206</c:v>
                </c:pt>
                <c:pt idx="197">
                  <c:v>841821.73986000195</c:v>
                </c:pt>
                <c:pt idx="198">
                  <c:v>820299.32368000201</c:v>
                </c:pt>
                <c:pt idx="199">
                  <c:v>831874.00878000201</c:v>
                </c:pt>
                <c:pt idx="200">
                  <c:v>815223.97636000195</c:v>
                </c:pt>
                <c:pt idx="201">
                  <c:v>835217.30412000208</c:v>
                </c:pt>
                <c:pt idx="202">
                  <c:v>860813.00734000211</c:v>
                </c:pt>
                <c:pt idx="203">
                  <c:v>872913.78884000203</c:v>
                </c:pt>
                <c:pt idx="204">
                  <c:v>893654.16212000197</c:v>
                </c:pt>
                <c:pt idx="205">
                  <c:v>898431.43752000201</c:v>
                </c:pt>
                <c:pt idx="206">
                  <c:v>918363.57410000206</c:v>
                </c:pt>
                <c:pt idx="207">
                  <c:v>922801.35070000193</c:v>
                </c:pt>
                <c:pt idx="208">
                  <c:v>909050.93080000207</c:v>
                </c:pt>
                <c:pt idx="209">
                  <c:v>912459.82484000199</c:v>
                </c:pt>
                <c:pt idx="210">
                  <c:v>906834.82644000207</c:v>
                </c:pt>
                <c:pt idx="211">
                  <c:v>898194.83324000204</c:v>
                </c:pt>
                <c:pt idx="212">
                  <c:v>923055.142600002</c:v>
                </c:pt>
                <c:pt idx="213">
                  <c:v>907954.48880000389</c:v>
                </c:pt>
                <c:pt idx="214">
                  <c:v>878758.73264000402</c:v>
                </c:pt>
                <c:pt idx="215">
                  <c:v>886676.39386000391</c:v>
                </c:pt>
                <c:pt idx="216">
                  <c:v>908612.192520004</c:v>
                </c:pt>
                <c:pt idx="217">
                  <c:v>918152.02588000405</c:v>
                </c:pt>
                <c:pt idx="218">
                  <c:v>922523.77050000394</c:v>
                </c:pt>
                <c:pt idx="219">
                  <c:v>941912.08864000405</c:v>
                </c:pt>
                <c:pt idx="220">
                  <c:v>931695.90386000404</c:v>
                </c:pt>
                <c:pt idx="221">
                  <c:v>925357.41352000402</c:v>
                </c:pt>
                <c:pt idx="222">
                  <c:v>930877.02238000405</c:v>
                </c:pt>
                <c:pt idx="223">
                  <c:v>910297.56454000401</c:v>
                </c:pt>
                <c:pt idx="224">
                  <c:v>904758.52202000399</c:v>
                </c:pt>
                <c:pt idx="225">
                  <c:v>902254.01432000403</c:v>
                </c:pt>
                <c:pt idx="226">
                  <c:v>931353.71456000395</c:v>
                </c:pt>
                <c:pt idx="227">
                  <c:v>909636.95034000406</c:v>
                </c:pt>
                <c:pt idx="228">
                  <c:v>923904.09720000403</c:v>
                </c:pt>
                <c:pt idx="229">
                  <c:v>922246.98728000396</c:v>
                </c:pt>
                <c:pt idx="230">
                  <c:v>948636.34500000405</c:v>
                </c:pt>
                <c:pt idx="231">
                  <c:v>935424.40432000405</c:v>
                </c:pt>
                <c:pt idx="232">
                  <c:v>932552.36400000402</c:v>
                </c:pt>
                <c:pt idx="233">
                  <c:v>963224.55174000398</c:v>
                </c:pt>
                <c:pt idx="234">
                  <c:v>896062.12140000402</c:v>
                </c:pt>
                <c:pt idx="235">
                  <c:v>897662.76986000407</c:v>
                </c:pt>
                <c:pt idx="236">
                  <c:v>915468.80028000404</c:v>
                </c:pt>
                <c:pt idx="237">
                  <c:v>901253.24064000393</c:v>
                </c:pt>
                <c:pt idx="238">
                  <c:v>902690.72732000402</c:v>
                </c:pt>
                <c:pt idx="239">
                  <c:v>919351.51050000393</c:v>
                </c:pt>
                <c:pt idx="240">
                  <c:v>918007.18956000393</c:v>
                </c:pt>
                <c:pt idx="241">
                  <c:v>927421.78434000409</c:v>
                </c:pt>
                <c:pt idx="242">
                  <c:v>946616.42100000405</c:v>
                </c:pt>
                <c:pt idx="243">
                  <c:v>953253.25652000401</c:v>
                </c:pt>
                <c:pt idx="244">
                  <c:v>964016.00104000396</c:v>
                </c:pt>
                <c:pt idx="245">
                  <c:v>972137.53556000406</c:v>
                </c:pt>
                <c:pt idx="246">
                  <c:v>967058.73064000404</c:v>
                </c:pt>
                <c:pt idx="247">
                  <c:v>964364.00590000395</c:v>
                </c:pt>
                <c:pt idx="248">
                  <c:v>989835.32788000407</c:v>
                </c:pt>
                <c:pt idx="249">
                  <c:v>994260.62276000401</c:v>
                </c:pt>
                <c:pt idx="250">
                  <c:v>996953.14052000397</c:v>
                </c:pt>
                <c:pt idx="251">
                  <c:v>997924.84396000393</c:v>
                </c:pt>
                <c:pt idx="252">
                  <c:v>977762.57476000395</c:v>
                </c:pt>
                <c:pt idx="253">
                  <c:v>960216.81136000401</c:v>
                </c:pt>
                <c:pt idx="254">
                  <c:v>946365.21720000391</c:v>
                </c:pt>
                <c:pt idx="255">
                  <c:v>980699.68532000412</c:v>
                </c:pt>
                <c:pt idx="256">
                  <c:v>986574.76822000404</c:v>
                </c:pt>
                <c:pt idx="257">
                  <c:v>973201.35644000396</c:v>
                </c:pt>
                <c:pt idx="258">
                  <c:v>976585.94606000406</c:v>
                </c:pt>
                <c:pt idx="259">
                  <c:v>964894.16502000391</c:v>
                </c:pt>
                <c:pt idx="260">
                  <c:v>1000815.7130800041</c:v>
                </c:pt>
                <c:pt idx="261">
                  <c:v>1056813.0218800041</c:v>
                </c:pt>
                <c:pt idx="262">
                  <c:v>1056813.0218800041</c:v>
                </c:pt>
                <c:pt idx="263">
                  <c:v>1059741.6717400041</c:v>
                </c:pt>
                <c:pt idx="264">
                  <c:v>1157507.7608600021</c:v>
                </c:pt>
                <c:pt idx="265">
                  <c:v>1157507.7608600021</c:v>
                </c:pt>
                <c:pt idx="266">
                  <c:v>1146861.7169600041</c:v>
                </c:pt>
                <c:pt idx="267">
                  <c:v>1139499.7368800039</c:v>
                </c:pt>
                <c:pt idx="268">
                  <c:v>1157521.456860004</c:v>
                </c:pt>
                <c:pt idx="269">
                  <c:v>1160510.7486200039</c:v>
                </c:pt>
                <c:pt idx="270">
                  <c:v>1159078.1261600039</c:v>
                </c:pt>
                <c:pt idx="271">
                  <c:v>1136977.3079600041</c:v>
                </c:pt>
                <c:pt idx="272">
                  <c:v>1150319.0681800039</c:v>
                </c:pt>
                <c:pt idx="273">
                  <c:v>1150319.0681800039</c:v>
                </c:pt>
                <c:pt idx="274">
                  <c:v>1167951.7432400039</c:v>
                </c:pt>
                <c:pt idx="275">
                  <c:v>1161197.320120004</c:v>
                </c:pt>
                <c:pt idx="276">
                  <c:v>1152366.6900600041</c:v>
                </c:pt>
                <c:pt idx="277">
                  <c:v>1161604.2655000021</c:v>
                </c:pt>
                <c:pt idx="278">
                  <c:v>1152764.629360002</c:v>
                </c:pt>
                <c:pt idx="279">
                  <c:v>1145780.0945400021</c:v>
                </c:pt>
                <c:pt idx="280">
                  <c:v>1145057.1341400021</c:v>
                </c:pt>
                <c:pt idx="281">
                  <c:v>1135611.9588800021</c:v>
                </c:pt>
                <c:pt idx="282">
                  <c:v>1176375.138900002</c:v>
                </c:pt>
                <c:pt idx="283">
                  <c:v>1158056.363060002</c:v>
                </c:pt>
                <c:pt idx="284">
                  <c:v>1169803.7537000019</c:v>
                </c:pt>
                <c:pt idx="285">
                  <c:v>1158704.5091200019</c:v>
                </c:pt>
                <c:pt idx="286">
                  <c:v>1161981.9651000039</c:v>
                </c:pt>
                <c:pt idx="287">
                  <c:v>1127363.3378800019</c:v>
                </c:pt>
                <c:pt idx="288">
                  <c:v>1096309.8130200019</c:v>
                </c:pt>
                <c:pt idx="289">
                  <c:v>1073839.796040002</c:v>
                </c:pt>
                <c:pt idx="290">
                  <c:v>1092500.9792800019</c:v>
                </c:pt>
                <c:pt idx="291">
                  <c:v>1083972.074480002</c:v>
                </c:pt>
                <c:pt idx="292">
                  <c:v>1088981.2220800021</c:v>
                </c:pt>
                <c:pt idx="293">
                  <c:v>1107100.992560002</c:v>
                </c:pt>
                <c:pt idx="294">
                  <c:v>1111996.1468400019</c:v>
                </c:pt>
                <c:pt idx="295">
                  <c:v>1119300.6164400021</c:v>
                </c:pt>
                <c:pt idx="296">
                  <c:v>1133614.7079600019</c:v>
                </c:pt>
                <c:pt idx="297">
                  <c:v>1155960.1779600021</c:v>
                </c:pt>
                <c:pt idx="298">
                  <c:v>1134205.022220002</c:v>
                </c:pt>
                <c:pt idx="299">
                  <c:v>1153652.133300002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9D-4297-A46A-235352BAFBCD}"/>
            </c:ext>
          </c:extLst>
        </c:ser>
        <c:ser>
          <c:idx val="10"/>
          <c:order val="10"/>
          <c:tx>
            <c:strRef>
              <c:f>创业板!$O$1</c:f>
              <c:strCache>
                <c:ptCount val="1"/>
                <c:pt idx="0">
                  <c:v>LambdaRank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创业板!$O$2:$O$302</c:f>
              <c:numCache>
                <c:formatCode>General</c:formatCode>
                <c:ptCount val="301"/>
                <c:pt idx="0">
                  <c:v>1000000</c:v>
                </c:pt>
                <c:pt idx="1">
                  <c:v>1043474.4097</c:v>
                </c:pt>
                <c:pt idx="2">
                  <c:v>1000915.1246999981</c:v>
                </c:pt>
                <c:pt idx="3">
                  <c:v>994876.81821999792</c:v>
                </c:pt>
                <c:pt idx="4">
                  <c:v>1033085.945559998</c:v>
                </c:pt>
                <c:pt idx="5">
                  <c:v>1008489.311659998</c:v>
                </c:pt>
                <c:pt idx="6">
                  <c:v>1009834.958179998</c:v>
                </c:pt>
                <c:pt idx="7">
                  <c:v>1002999.4646999979</c:v>
                </c:pt>
                <c:pt idx="8">
                  <c:v>976223.88189999794</c:v>
                </c:pt>
                <c:pt idx="9">
                  <c:v>992016.10827999806</c:v>
                </c:pt>
                <c:pt idx="10">
                  <c:v>1001804.6447799981</c:v>
                </c:pt>
                <c:pt idx="11">
                  <c:v>1002291.910659998</c:v>
                </c:pt>
                <c:pt idx="12">
                  <c:v>980825.57663999801</c:v>
                </c:pt>
                <c:pt idx="13">
                  <c:v>954328.86171999795</c:v>
                </c:pt>
                <c:pt idx="14">
                  <c:v>963012.52849999792</c:v>
                </c:pt>
                <c:pt idx="15">
                  <c:v>990791.81309999805</c:v>
                </c:pt>
                <c:pt idx="16">
                  <c:v>986810.2200799979</c:v>
                </c:pt>
                <c:pt idx="17">
                  <c:v>1006544.6122799979</c:v>
                </c:pt>
                <c:pt idx="18">
                  <c:v>991293.92611999786</c:v>
                </c:pt>
                <c:pt idx="19">
                  <c:v>958448.82053999812</c:v>
                </c:pt>
                <c:pt idx="20">
                  <c:v>924385.04257999803</c:v>
                </c:pt>
                <c:pt idx="21">
                  <c:v>938577.46261999791</c:v>
                </c:pt>
                <c:pt idx="22">
                  <c:v>925011.89653999801</c:v>
                </c:pt>
                <c:pt idx="23">
                  <c:v>973679.81125999801</c:v>
                </c:pt>
                <c:pt idx="24">
                  <c:v>934054.23493999802</c:v>
                </c:pt>
                <c:pt idx="25">
                  <c:v>941292.99213999812</c:v>
                </c:pt>
                <c:pt idx="26">
                  <c:v>932232.51733999792</c:v>
                </c:pt>
                <c:pt idx="27">
                  <c:v>962642.37009999808</c:v>
                </c:pt>
                <c:pt idx="28">
                  <c:v>992231.00137999805</c:v>
                </c:pt>
                <c:pt idx="29">
                  <c:v>968365.31785999797</c:v>
                </c:pt>
                <c:pt idx="30">
                  <c:v>978680.31233999808</c:v>
                </c:pt>
                <c:pt idx="31">
                  <c:v>957334.1119999981</c:v>
                </c:pt>
                <c:pt idx="32">
                  <c:v>922743.88481999806</c:v>
                </c:pt>
                <c:pt idx="33">
                  <c:v>938350.46889999812</c:v>
                </c:pt>
                <c:pt idx="34">
                  <c:v>923430.35859999806</c:v>
                </c:pt>
                <c:pt idx="35">
                  <c:v>925749.45885999803</c:v>
                </c:pt>
                <c:pt idx="36">
                  <c:v>880236.89307999797</c:v>
                </c:pt>
                <c:pt idx="37">
                  <c:v>847123.72277999797</c:v>
                </c:pt>
                <c:pt idx="38">
                  <c:v>812198.59599999804</c:v>
                </c:pt>
                <c:pt idx="39">
                  <c:v>787275.26579999807</c:v>
                </c:pt>
                <c:pt idx="40">
                  <c:v>816616.15673999791</c:v>
                </c:pt>
                <c:pt idx="41">
                  <c:v>800578.19699999806</c:v>
                </c:pt>
                <c:pt idx="42">
                  <c:v>771281.68223999802</c:v>
                </c:pt>
                <c:pt idx="43">
                  <c:v>771281.68223999802</c:v>
                </c:pt>
                <c:pt idx="44">
                  <c:v>771281.68223999802</c:v>
                </c:pt>
                <c:pt idx="45">
                  <c:v>771281.68223999802</c:v>
                </c:pt>
                <c:pt idx="46">
                  <c:v>787963.00759999803</c:v>
                </c:pt>
                <c:pt idx="47">
                  <c:v>786289.215459998</c:v>
                </c:pt>
                <c:pt idx="48">
                  <c:v>792540.61711999797</c:v>
                </c:pt>
                <c:pt idx="49">
                  <c:v>805742.52333999798</c:v>
                </c:pt>
                <c:pt idx="50">
                  <c:v>850635.42563999793</c:v>
                </c:pt>
                <c:pt idx="51">
                  <c:v>836622.31073999801</c:v>
                </c:pt>
                <c:pt idx="52">
                  <c:v>847169.46813999803</c:v>
                </c:pt>
                <c:pt idx="53">
                  <c:v>826699.03861999803</c:v>
                </c:pt>
                <c:pt idx="54">
                  <c:v>826560.61285999801</c:v>
                </c:pt>
                <c:pt idx="55">
                  <c:v>812042.36243999796</c:v>
                </c:pt>
                <c:pt idx="56">
                  <c:v>794812.11769999797</c:v>
                </c:pt>
                <c:pt idx="57">
                  <c:v>795922.24027999793</c:v>
                </c:pt>
                <c:pt idx="58">
                  <c:v>776566.94367999793</c:v>
                </c:pt>
                <c:pt idx="59">
                  <c:v>738955.76041999809</c:v>
                </c:pt>
                <c:pt idx="60">
                  <c:v>750861.70811999799</c:v>
                </c:pt>
                <c:pt idx="61">
                  <c:v>781715.12707999791</c:v>
                </c:pt>
                <c:pt idx="62">
                  <c:v>804791.90171999799</c:v>
                </c:pt>
                <c:pt idx="63">
                  <c:v>774837.96637999802</c:v>
                </c:pt>
                <c:pt idx="64">
                  <c:v>753946.25013999804</c:v>
                </c:pt>
                <c:pt idx="65">
                  <c:v>787682.63105999795</c:v>
                </c:pt>
                <c:pt idx="66">
                  <c:v>802149.73195999791</c:v>
                </c:pt>
                <c:pt idx="67">
                  <c:v>820142.815279998</c:v>
                </c:pt>
                <c:pt idx="68">
                  <c:v>843293.02037999802</c:v>
                </c:pt>
                <c:pt idx="69">
                  <c:v>821905.61041999806</c:v>
                </c:pt>
                <c:pt idx="70">
                  <c:v>853852.17639999802</c:v>
                </c:pt>
                <c:pt idx="71">
                  <c:v>858458.224739998</c:v>
                </c:pt>
                <c:pt idx="72">
                  <c:v>840978.77385999798</c:v>
                </c:pt>
                <c:pt idx="73">
                  <c:v>842092.68629999796</c:v>
                </c:pt>
                <c:pt idx="74">
                  <c:v>834949.51107999799</c:v>
                </c:pt>
                <c:pt idx="75">
                  <c:v>855852.521339998</c:v>
                </c:pt>
                <c:pt idx="76">
                  <c:v>838093.28851999796</c:v>
                </c:pt>
                <c:pt idx="77">
                  <c:v>871148.3506599979</c:v>
                </c:pt>
                <c:pt idx="78">
                  <c:v>850334.35233999812</c:v>
                </c:pt>
                <c:pt idx="79">
                  <c:v>814406.36963999807</c:v>
                </c:pt>
                <c:pt idx="80">
                  <c:v>797062.03201999806</c:v>
                </c:pt>
                <c:pt idx="81">
                  <c:v>766032.98337999801</c:v>
                </c:pt>
                <c:pt idx="82">
                  <c:v>771650.25619999808</c:v>
                </c:pt>
                <c:pt idx="83">
                  <c:v>735332.20217999793</c:v>
                </c:pt>
                <c:pt idx="84">
                  <c:v>748590.01677999808</c:v>
                </c:pt>
                <c:pt idx="85">
                  <c:v>765502.54811999795</c:v>
                </c:pt>
                <c:pt idx="86">
                  <c:v>773487.38541999809</c:v>
                </c:pt>
                <c:pt idx="87">
                  <c:v>764481.90653999802</c:v>
                </c:pt>
                <c:pt idx="88">
                  <c:v>754148.77087999799</c:v>
                </c:pt>
                <c:pt idx="89">
                  <c:v>760225.52807999798</c:v>
                </c:pt>
                <c:pt idx="90">
                  <c:v>753917.84469999804</c:v>
                </c:pt>
                <c:pt idx="91">
                  <c:v>698845.99037999799</c:v>
                </c:pt>
                <c:pt idx="92">
                  <c:v>641836.87975999794</c:v>
                </c:pt>
                <c:pt idx="93">
                  <c:v>661713.146079998</c:v>
                </c:pt>
                <c:pt idx="94">
                  <c:v>644385.60625999805</c:v>
                </c:pt>
                <c:pt idx="95">
                  <c:v>646055.19985999796</c:v>
                </c:pt>
                <c:pt idx="96">
                  <c:v>650516.35389999801</c:v>
                </c:pt>
                <c:pt idx="97">
                  <c:v>664585.27993999806</c:v>
                </c:pt>
                <c:pt idx="98">
                  <c:v>652292.58679999807</c:v>
                </c:pt>
                <c:pt idx="99">
                  <c:v>678247.62907999801</c:v>
                </c:pt>
                <c:pt idx="100">
                  <c:v>696529.05945999804</c:v>
                </c:pt>
                <c:pt idx="101">
                  <c:v>706162.09897999803</c:v>
                </c:pt>
                <c:pt idx="102">
                  <c:v>696579.34741999791</c:v>
                </c:pt>
                <c:pt idx="103">
                  <c:v>686412.05789999804</c:v>
                </c:pt>
                <c:pt idx="104">
                  <c:v>701373.89545999805</c:v>
                </c:pt>
                <c:pt idx="105">
                  <c:v>704293.495119998</c:v>
                </c:pt>
                <c:pt idx="106">
                  <c:v>702394.74583999801</c:v>
                </c:pt>
                <c:pt idx="107">
                  <c:v>745397.75215999805</c:v>
                </c:pt>
                <c:pt idx="108">
                  <c:v>747700.88943999796</c:v>
                </c:pt>
                <c:pt idx="109">
                  <c:v>704816.08549999795</c:v>
                </c:pt>
                <c:pt idx="110">
                  <c:v>712810.20053999801</c:v>
                </c:pt>
                <c:pt idx="111">
                  <c:v>720206.01999999792</c:v>
                </c:pt>
                <c:pt idx="112">
                  <c:v>713304.44499999797</c:v>
                </c:pt>
                <c:pt idx="113">
                  <c:v>716560.10587999807</c:v>
                </c:pt>
                <c:pt idx="114">
                  <c:v>721283.17743999802</c:v>
                </c:pt>
                <c:pt idx="115">
                  <c:v>718457.45635999809</c:v>
                </c:pt>
                <c:pt idx="116">
                  <c:v>745024.58939999796</c:v>
                </c:pt>
                <c:pt idx="117">
                  <c:v>769377.59911999793</c:v>
                </c:pt>
                <c:pt idx="118">
                  <c:v>759829.63607999799</c:v>
                </c:pt>
                <c:pt idx="119">
                  <c:v>751987.78595999791</c:v>
                </c:pt>
                <c:pt idx="120">
                  <c:v>731922.96181999799</c:v>
                </c:pt>
                <c:pt idx="121">
                  <c:v>741716.35503999796</c:v>
                </c:pt>
                <c:pt idx="122">
                  <c:v>748011.27907999803</c:v>
                </c:pt>
                <c:pt idx="123">
                  <c:v>766515.07015999802</c:v>
                </c:pt>
                <c:pt idx="124">
                  <c:v>750664.33371999802</c:v>
                </c:pt>
                <c:pt idx="125">
                  <c:v>782349.54889999796</c:v>
                </c:pt>
                <c:pt idx="126">
                  <c:v>783937.96443999803</c:v>
                </c:pt>
                <c:pt idx="127">
                  <c:v>797007.65341999801</c:v>
                </c:pt>
                <c:pt idx="128">
                  <c:v>786586.13207999803</c:v>
                </c:pt>
                <c:pt idx="129">
                  <c:v>803933.970719998</c:v>
                </c:pt>
                <c:pt idx="130">
                  <c:v>832231.42607999803</c:v>
                </c:pt>
                <c:pt idx="131">
                  <c:v>825145.36973999802</c:v>
                </c:pt>
                <c:pt idx="132">
                  <c:v>843679.69511999807</c:v>
                </c:pt>
                <c:pt idx="133">
                  <c:v>837136.21113999805</c:v>
                </c:pt>
                <c:pt idx="134">
                  <c:v>815297.25249999797</c:v>
                </c:pt>
                <c:pt idx="135">
                  <c:v>837185.94949999801</c:v>
                </c:pt>
                <c:pt idx="136">
                  <c:v>838338.00293999794</c:v>
                </c:pt>
                <c:pt idx="137">
                  <c:v>873642.86765999789</c:v>
                </c:pt>
                <c:pt idx="138">
                  <c:v>854348.41729999799</c:v>
                </c:pt>
                <c:pt idx="139">
                  <c:v>852487.39047999796</c:v>
                </c:pt>
                <c:pt idx="140">
                  <c:v>846382.34311999811</c:v>
                </c:pt>
                <c:pt idx="141">
                  <c:v>881814.35827999806</c:v>
                </c:pt>
                <c:pt idx="142">
                  <c:v>896129.40909999795</c:v>
                </c:pt>
                <c:pt idx="143">
                  <c:v>877912.06643999799</c:v>
                </c:pt>
                <c:pt idx="144">
                  <c:v>913802.11863999791</c:v>
                </c:pt>
                <c:pt idx="145">
                  <c:v>963285.28097999806</c:v>
                </c:pt>
                <c:pt idx="146">
                  <c:v>974193.10377999803</c:v>
                </c:pt>
                <c:pt idx="147">
                  <c:v>1009646.7548199979</c:v>
                </c:pt>
                <c:pt idx="148">
                  <c:v>1016180.0508399981</c:v>
                </c:pt>
                <c:pt idx="149">
                  <c:v>1039128.0612799979</c:v>
                </c:pt>
                <c:pt idx="150">
                  <c:v>1054916.1902199979</c:v>
                </c:pt>
                <c:pt idx="151">
                  <c:v>1054068.9319999979</c:v>
                </c:pt>
                <c:pt idx="152">
                  <c:v>1059254.2091199979</c:v>
                </c:pt>
                <c:pt idx="153">
                  <c:v>1043413.9589999979</c:v>
                </c:pt>
                <c:pt idx="154">
                  <c:v>1054269.2097599979</c:v>
                </c:pt>
                <c:pt idx="155">
                  <c:v>1051581.6007799979</c:v>
                </c:pt>
                <c:pt idx="156">
                  <c:v>1028408.736499998</c:v>
                </c:pt>
                <c:pt idx="157">
                  <c:v>1034658.006499998</c:v>
                </c:pt>
                <c:pt idx="158">
                  <c:v>1019246.9267799979</c:v>
                </c:pt>
                <c:pt idx="159">
                  <c:v>1004282.4869999981</c:v>
                </c:pt>
                <c:pt idx="160">
                  <c:v>1000660.8848999981</c:v>
                </c:pt>
                <c:pt idx="161">
                  <c:v>1019204.317079998</c:v>
                </c:pt>
                <c:pt idx="162">
                  <c:v>1028143.189119998</c:v>
                </c:pt>
                <c:pt idx="163">
                  <c:v>1068093.603759998</c:v>
                </c:pt>
                <c:pt idx="164">
                  <c:v>1100088.7701999978</c:v>
                </c:pt>
                <c:pt idx="165">
                  <c:v>1115860.911579998</c:v>
                </c:pt>
                <c:pt idx="166">
                  <c:v>1152226.800339998</c:v>
                </c:pt>
                <c:pt idx="167">
                  <c:v>1145383.3752199979</c:v>
                </c:pt>
                <c:pt idx="168">
                  <c:v>1134053.1810199979</c:v>
                </c:pt>
                <c:pt idx="169">
                  <c:v>1128872.286699998</c:v>
                </c:pt>
                <c:pt idx="170">
                  <c:v>1164402.383599998</c:v>
                </c:pt>
                <c:pt idx="171">
                  <c:v>1152993.900079998</c:v>
                </c:pt>
                <c:pt idx="172">
                  <c:v>1169795.0982999981</c:v>
                </c:pt>
                <c:pt idx="173">
                  <c:v>1155917.753319998</c:v>
                </c:pt>
                <c:pt idx="174">
                  <c:v>1089861.466199998</c:v>
                </c:pt>
                <c:pt idx="175">
                  <c:v>1124132.2026599981</c:v>
                </c:pt>
                <c:pt idx="176">
                  <c:v>1123534.692619998</c:v>
                </c:pt>
                <c:pt idx="177">
                  <c:v>1137347.2775199979</c:v>
                </c:pt>
                <c:pt idx="178">
                  <c:v>1160496.8231599978</c:v>
                </c:pt>
                <c:pt idx="179">
                  <c:v>1133029.8018599979</c:v>
                </c:pt>
                <c:pt idx="180">
                  <c:v>1137425.8305599981</c:v>
                </c:pt>
                <c:pt idx="181">
                  <c:v>1139626.9602799979</c:v>
                </c:pt>
                <c:pt idx="182">
                  <c:v>1136173.8450399979</c:v>
                </c:pt>
                <c:pt idx="183">
                  <c:v>1160826.5454999979</c:v>
                </c:pt>
                <c:pt idx="184">
                  <c:v>1205010.920939998</c:v>
                </c:pt>
                <c:pt idx="185">
                  <c:v>1196362.0301399981</c:v>
                </c:pt>
                <c:pt idx="186">
                  <c:v>1218679.730199998</c:v>
                </c:pt>
                <c:pt idx="187">
                  <c:v>1186556.1602599979</c:v>
                </c:pt>
                <c:pt idx="188">
                  <c:v>1220067.9484799979</c:v>
                </c:pt>
                <c:pt idx="189">
                  <c:v>1174743.885719998</c:v>
                </c:pt>
                <c:pt idx="190">
                  <c:v>1168862.4661799981</c:v>
                </c:pt>
                <c:pt idx="191">
                  <c:v>1097572.419559998</c:v>
                </c:pt>
                <c:pt idx="192">
                  <c:v>1105985.9870599979</c:v>
                </c:pt>
                <c:pt idx="193">
                  <c:v>1061732.8863799979</c:v>
                </c:pt>
                <c:pt idx="194">
                  <c:v>1074767.110859998</c:v>
                </c:pt>
                <c:pt idx="195">
                  <c:v>1029581.8706399979</c:v>
                </c:pt>
                <c:pt idx="196">
                  <c:v>1015257.500079998</c:v>
                </c:pt>
                <c:pt idx="197">
                  <c:v>1077616.6614999981</c:v>
                </c:pt>
                <c:pt idx="198">
                  <c:v>1024751.419459996</c:v>
                </c:pt>
                <c:pt idx="199">
                  <c:v>1031149.375919998</c:v>
                </c:pt>
                <c:pt idx="200">
                  <c:v>1026658.033979998</c:v>
                </c:pt>
                <c:pt idx="201">
                  <c:v>1052426.8392799979</c:v>
                </c:pt>
                <c:pt idx="202">
                  <c:v>1096668.4945799981</c:v>
                </c:pt>
                <c:pt idx="203">
                  <c:v>1095110.4711999982</c:v>
                </c:pt>
                <c:pt idx="204">
                  <c:v>1102337.817979998</c:v>
                </c:pt>
                <c:pt idx="205">
                  <c:v>1128352.346539998</c:v>
                </c:pt>
                <c:pt idx="206">
                  <c:v>1172568.7002399978</c:v>
                </c:pt>
                <c:pt idx="207">
                  <c:v>1187707.5083999981</c:v>
                </c:pt>
                <c:pt idx="208">
                  <c:v>1202191.8804999979</c:v>
                </c:pt>
                <c:pt idx="209">
                  <c:v>1199170.6026399978</c:v>
                </c:pt>
                <c:pt idx="210">
                  <c:v>1174637.7020799979</c:v>
                </c:pt>
                <c:pt idx="211">
                  <c:v>1169073.538319998</c:v>
                </c:pt>
                <c:pt idx="212">
                  <c:v>1197886.210079998</c:v>
                </c:pt>
                <c:pt idx="213">
                  <c:v>1173955.836359998</c:v>
                </c:pt>
                <c:pt idx="214">
                  <c:v>1127428.2842399981</c:v>
                </c:pt>
                <c:pt idx="215">
                  <c:v>1134100.517159998</c:v>
                </c:pt>
                <c:pt idx="216">
                  <c:v>1154812.2482599979</c:v>
                </c:pt>
                <c:pt idx="217">
                  <c:v>1155441.398559998</c:v>
                </c:pt>
                <c:pt idx="218">
                  <c:v>1151248.417299998</c:v>
                </c:pt>
                <c:pt idx="219">
                  <c:v>1169501.0808999981</c:v>
                </c:pt>
                <c:pt idx="220">
                  <c:v>1161483.5706199962</c:v>
                </c:pt>
                <c:pt idx="221">
                  <c:v>1157059.4637999958</c:v>
                </c:pt>
                <c:pt idx="222">
                  <c:v>1195185.577319996</c:v>
                </c:pt>
                <c:pt idx="223">
                  <c:v>1167718.1431799959</c:v>
                </c:pt>
                <c:pt idx="224">
                  <c:v>1159676.688499996</c:v>
                </c:pt>
                <c:pt idx="225">
                  <c:v>1156712.6824399959</c:v>
                </c:pt>
                <c:pt idx="226">
                  <c:v>1180968.0722399959</c:v>
                </c:pt>
                <c:pt idx="227">
                  <c:v>1145185.682599996</c:v>
                </c:pt>
                <c:pt idx="228">
                  <c:v>1142885.407859996</c:v>
                </c:pt>
                <c:pt idx="229">
                  <c:v>1140776.9370199959</c:v>
                </c:pt>
                <c:pt idx="230">
                  <c:v>1153310.9000799959</c:v>
                </c:pt>
                <c:pt idx="231">
                  <c:v>1140772.7965799959</c:v>
                </c:pt>
                <c:pt idx="232">
                  <c:v>1151879.587479996</c:v>
                </c:pt>
                <c:pt idx="233">
                  <c:v>1200422.2731599961</c:v>
                </c:pt>
                <c:pt idx="234">
                  <c:v>1148488.7390399962</c:v>
                </c:pt>
                <c:pt idx="235">
                  <c:v>1137918.0818399959</c:v>
                </c:pt>
                <c:pt idx="236">
                  <c:v>1148379.7952999962</c:v>
                </c:pt>
                <c:pt idx="237">
                  <c:v>1138046.1177399959</c:v>
                </c:pt>
                <c:pt idx="238">
                  <c:v>1156561.1098999961</c:v>
                </c:pt>
                <c:pt idx="239">
                  <c:v>1169483.0493399962</c:v>
                </c:pt>
                <c:pt idx="240">
                  <c:v>1191393.6554399959</c:v>
                </c:pt>
                <c:pt idx="241">
                  <c:v>1185546.2873799959</c:v>
                </c:pt>
                <c:pt idx="242">
                  <c:v>1220007.991919996</c:v>
                </c:pt>
                <c:pt idx="243">
                  <c:v>1228563.009899996</c:v>
                </c:pt>
                <c:pt idx="244">
                  <c:v>1234831.5925399959</c:v>
                </c:pt>
                <c:pt idx="245">
                  <c:v>1262422.7595199959</c:v>
                </c:pt>
                <c:pt idx="246">
                  <c:v>1245897.1921199961</c:v>
                </c:pt>
                <c:pt idx="247">
                  <c:v>1245492.0623199961</c:v>
                </c:pt>
                <c:pt idx="248">
                  <c:v>1298862.6618799961</c:v>
                </c:pt>
                <c:pt idx="249">
                  <c:v>1313938.8717399961</c:v>
                </c:pt>
                <c:pt idx="250">
                  <c:v>1318157.9942999962</c:v>
                </c:pt>
                <c:pt idx="251">
                  <c:v>1301942.3832399962</c:v>
                </c:pt>
                <c:pt idx="252">
                  <c:v>1276221.5029199959</c:v>
                </c:pt>
                <c:pt idx="253">
                  <c:v>1253317.041239996</c:v>
                </c:pt>
                <c:pt idx="254">
                  <c:v>1238225.332619996</c:v>
                </c:pt>
                <c:pt idx="255">
                  <c:v>1263756.3428999961</c:v>
                </c:pt>
                <c:pt idx="256">
                  <c:v>1265435.254279996</c:v>
                </c:pt>
                <c:pt idx="257">
                  <c:v>1251254.7132199961</c:v>
                </c:pt>
                <c:pt idx="258">
                  <c:v>1257879.0250599959</c:v>
                </c:pt>
                <c:pt idx="259">
                  <c:v>1243103.9324599961</c:v>
                </c:pt>
                <c:pt idx="260">
                  <c:v>1276711.350159996</c:v>
                </c:pt>
                <c:pt idx="261">
                  <c:v>1246030.346159996</c:v>
                </c:pt>
                <c:pt idx="262">
                  <c:v>1261027.8493199958</c:v>
                </c:pt>
                <c:pt idx="263">
                  <c:v>1245147.806899996</c:v>
                </c:pt>
                <c:pt idx="264">
                  <c:v>1262809.591139996</c:v>
                </c:pt>
                <c:pt idx="265">
                  <c:v>1268824.297019996</c:v>
                </c:pt>
                <c:pt idx="266">
                  <c:v>1233314.0909999958</c:v>
                </c:pt>
                <c:pt idx="267">
                  <c:v>1232615.853859996</c:v>
                </c:pt>
                <c:pt idx="268">
                  <c:v>1237784.241159996</c:v>
                </c:pt>
                <c:pt idx="269">
                  <c:v>1233579.7724199961</c:v>
                </c:pt>
                <c:pt idx="270">
                  <c:v>1225208.478779996</c:v>
                </c:pt>
                <c:pt idx="271">
                  <c:v>1223005.034239996</c:v>
                </c:pt>
                <c:pt idx="272">
                  <c:v>1224873.6865599961</c:v>
                </c:pt>
                <c:pt idx="273">
                  <c:v>1208237.346159996</c:v>
                </c:pt>
                <c:pt idx="274">
                  <c:v>1226485.949699996</c:v>
                </c:pt>
                <c:pt idx="275">
                  <c:v>1230564.2583799961</c:v>
                </c:pt>
                <c:pt idx="276">
                  <c:v>1233710.0774999959</c:v>
                </c:pt>
                <c:pt idx="277">
                  <c:v>1245923.327079996</c:v>
                </c:pt>
                <c:pt idx="278">
                  <c:v>1239449.182199996</c:v>
                </c:pt>
                <c:pt idx="279">
                  <c:v>1228144.597439996</c:v>
                </c:pt>
                <c:pt idx="280">
                  <c:v>1230486.355939996</c:v>
                </c:pt>
                <c:pt idx="281">
                  <c:v>1224044.5521399961</c:v>
                </c:pt>
                <c:pt idx="282">
                  <c:v>1259206.245679996</c:v>
                </c:pt>
                <c:pt idx="283">
                  <c:v>1235990.745039996</c:v>
                </c:pt>
                <c:pt idx="284">
                  <c:v>1255770.543659996</c:v>
                </c:pt>
                <c:pt idx="285">
                  <c:v>1215548.734679996</c:v>
                </c:pt>
                <c:pt idx="286">
                  <c:v>1219041.537599996</c:v>
                </c:pt>
                <c:pt idx="287">
                  <c:v>1184124.595419996</c:v>
                </c:pt>
                <c:pt idx="288">
                  <c:v>1136680.6810199958</c:v>
                </c:pt>
                <c:pt idx="289">
                  <c:v>1126169.660979996</c:v>
                </c:pt>
                <c:pt idx="290">
                  <c:v>1153065.983879996</c:v>
                </c:pt>
                <c:pt idx="291">
                  <c:v>1154064.119219996</c:v>
                </c:pt>
                <c:pt idx="292">
                  <c:v>1156764.6431399961</c:v>
                </c:pt>
                <c:pt idx="293">
                  <c:v>1176017.270119996</c:v>
                </c:pt>
                <c:pt idx="294">
                  <c:v>1181214.222899996</c:v>
                </c:pt>
                <c:pt idx="295">
                  <c:v>1182160.459879996</c:v>
                </c:pt>
                <c:pt idx="296">
                  <c:v>1195456.8163399962</c:v>
                </c:pt>
                <c:pt idx="297">
                  <c:v>1256468.829739996</c:v>
                </c:pt>
                <c:pt idx="298">
                  <c:v>1235457.2689399959</c:v>
                </c:pt>
                <c:pt idx="299">
                  <c:v>1244635.5085399959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9D-4297-A46A-235352BAFBCD}"/>
            </c:ext>
          </c:extLst>
        </c:ser>
        <c:ser>
          <c:idx val="11"/>
          <c:order val="11"/>
          <c:tx>
            <c:strRef>
              <c:f>创业板!$P$1</c:f>
              <c:strCache>
                <c:ptCount val="1"/>
                <c:pt idx="0">
                  <c:v>LambdaMART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创业板!$P$2:$P$302</c:f>
              <c:numCache>
                <c:formatCode>General</c:formatCode>
                <c:ptCount val="301"/>
                <c:pt idx="0">
                  <c:v>1000000</c:v>
                </c:pt>
                <c:pt idx="1">
                  <c:v>1002175.7464400001</c:v>
                </c:pt>
                <c:pt idx="2">
                  <c:v>961298.82246000005</c:v>
                </c:pt>
                <c:pt idx="3">
                  <c:v>989360.96372</c:v>
                </c:pt>
                <c:pt idx="4">
                  <c:v>991866.38925999997</c:v>
                </c:pt>
                <c:pt idx="5">
                  <c:v>987062.69949999987</c:v>
                </c:pt>
                <c:pt idx="6">
                  <c:v>988360.30857999995</c:v>
                </c:pt>
                <c:pt idx="7">
                  <c:v>991452.60127999797</c:v>
                </c:pt>
                <c:pt idx="8">
                  <c:v>972164.08349999809</c:v>
                </c:pt>
                <c:pt idx="9">
                  <c:v>963894.16639999801</c:v>
                </c:pt>
                <c:pt idx="10">
                  <c:v>981407.10187999788</c:v>
                </c:pt>
                <c:pt idx="11">
                  <c:v>959536.14777999802</c:v>
                </c:pt>
                <c:pt idx="12">
                  <c:v>938972.34553999803</c:v>
                </c:pt>
                <c:pt idx="13">
                  <c:v>926587.97471999808</c:v>
                </c:pt>
                <c:pt idx="14">
                  <c:v>938517.91843999794</c:v>
                </c:pt>
                <c:pt idx="15">
                  <c:v>947563.88393999799</c:v>
                </c:pt>
                <c:pt idx="16">
                  <c:v>942451.00132000004</c:v>
                </c:pt>
                <c:pt idx="17">
                  <c:v>964066.32215999998</c:v>
                </c:pt>
                <c:pt idx="18">
                  <c:v>952247.67661999795</c:v>
                </c:pt>
                <c:pt idx="19">
                  <c:v>924130.96587999794</c:v>
                </c:pt>
                <c:pt idx="20">
                  <c:v>906126.98239999986</c:v>
                </c:pt>
                <c:pt idx="21">
                  <c:v>914610.00797999802</c:v>
                </c:pt>
                <c:pt idx="22">
                  <c:v>913933.31952000002</c:v>
                </c:pt>
                <c:pt idx="23">
                  <c:v>937872.33387999795</c:v>
                </c:pt>
                <c:pt idx="24">
                  <c:v>911054.46061999793</c:v>
                </c:pt>
                <c:pt idx="25">
                  <c:v>933325.03477999789</c:v>
                </c:pt>
                <c:pt idx="26">
                  <c:v>911561.98257999797</c:v>
                </c:pt>
                <c:pt idx="27">
                  <c:v>937851.617719998</c:v>
                </c:pt>
                <c:pt idx="28">
                  <c:v>942543.57152</c:v>
                </c:pt>
                <c:pt idx="29">
                  <c:v>924947.79756000009</c:v>
                </c:pt>
                <c:pt idx="30">
                  <c:v>888333.57173999993</c:v>
                </c:pt>
                <c:pt idx="31">
                  <c:v>851265.65578000003</c:v>
                </c:pt>
                <c:pt idx="32">
                  <c:v>836199.41674000002</c:v>
                </c:pt>
                <c:pt idx="33">
                  <c:v>848858.34945999994</c:v>
                </c:pt>
                <c:pt idx="34">
                  <c:v>832103.33860000002</c:v>
                </c:pt>
                <c:pt idx="35">
                  <c:v>837731.69432000001</c:v>
                </c:pt>
                <c:pt idx="36">
                  <c:v>829330.285619998</c:v>
                </c:pt>
                <c:pt idx="37">
                  <c:v>826724.84325999999</c:v>
                </c:pt>
                <c:pt idx="38">
                  <c:v>847770.24745999998</c:v>
                </c:pt>
                <c:pt idx="39">
                  <c:v>835448.53241999994</c:v>
                </c:pt>
                <c:pt idx="40">
                  <c:v>852931.77667999989</c:v>
                </c:pt>
                <c:pt idx="41">
                  <c:v>841122.96686000004</c:v>
                </c:pt>
                <c:pt idx="42">
                  <c:v>814183.27605999995</c:v>
                </c:pt>
                <c:pt idx="43">
                  <c:v>814183.27605999995</c:v>
                </c:pt>
                <c:pt idx="44">
                  <c:v>814183.27605999995</c:v>
                </c:pt>
                <c:pt idx="45">
                  <c:v>814183.27605999995</c:v>
                </c:pt>
                <c:pt idx="46">
                  <c:v>827479.36965999799</c:v>
                </c:pt>
                <c:pt idx="47">
                  <c:v>825245.58299999801</c:v>
                </c:pt>
                <c:pt idx="48">
                  <c:v>816696.75847999798</c:v>
                </c:pt>
                <c:pt idx="49">
                  <c:v>825618.62059999793</c:v>
                </c:pt>
                <c:pt idx="50">
                  <c:v>873447.08127999806</c:v>
                </c:pt>
                <c:pt idx="51">
                  <c:v>875463.77195999806</c:v>
                </c:pt>
                <c:pt idx="52">
                  <c:v>884282.2486999979</c:v>
                </c:pt>
                <c:pt idx="53">
                  <c:v>884450.72309999797</c:v>
                </c:pt>
                <c:pt idx="54">
                  <c:v>892963.92179999803</c:v>
                </c:pt>
                <c:pt idx="55">
                  <c:v>883024.15441999992</c:v>
                </c:pt>
                <c:pt idx="56">
                  <c:v>874527.11067999993</c:v>
                </c:pt>
                <c:pt idx="57">
                  <c:v>856508.97653999797</c:v>
                </c:pt>
                <c:pt idx="58">
                  <c:v>830451.91591999796</c:v>
                </c:pt>
                <c:pt idx="59">
                  <c:v>790970.21129999799</c:v>
                </c:pt>
                <c:pt idx="60">
                  <c:v>824438.21489999793</c:v>
                </c:pt>
                <c:pt idx="61">
                  <c:v>822435.977919998</c:v>
                </c:pt>
                <c:pt idx="62">
                  <c:v>822864.47323999798</c:v>
                </c:pt>
                <c:pt idx="63">
                  <c:v>782185.33149999799</c:v>
                </c:pt>
                <c:pt idx="64">
                  <c:v>778697.76123999804</c:v>
                </c:pt>
                <c:pt idx="65">
                  <c:v>808159.20715999801</c:v>
                </c:pt>
                <c:pt idx="66">
                  <c:v>818771.48553999804</c:v>
                </c:pt>
                <c:pt idx="67">
                  <c:v>853265.7221999981</c:v>
                </c:pt>
                <c:pt idx="68">
                  <c:v>850347.33355999796</c:v>
                </c:pt>
                <c:pt idx="69">
                  <c:v>813546.542239998</c:v>
                </c:pt>
                <c:pt idx="70">
                  <c:v>820391.12005999801</c:v>
                </c:pt>
                <c:pt idx="71">
                  <c:v>847646.62105999794</c:v>
                </c:pt>
                <c:pt idx="72">
                  <c:v>835125.14483999799</c:v>
                </c:pt>
                <c:pt idx="73">
                  <c:v>835893.91784000001</c:v>
                </c:pt>
                <c:pt idx="74">
                  <c:v>844210.33675999998</c:v>
                </c:pt>
                <c:pt idx="75">
                  <c:v>864884.53759999794</c:v>
                </c:pt>
                <c:pt idx="76">
                  <c:v>869544.97353999806</c:v>
                </c:pt>
                <c:pt idx="77">
                  <c:v>911448.59643999801</c:v>
                </c:pt>
                <c:pt idx="78">
                  <c:v>890518.93313999998</c:v>
                </c:pt>
                <c:pt idx="79">
                  <c:v>868777.17520000006</c:v>
                </c:pt>
                <c:pt idx="80">
                  <c:v>842105.65039999806</c:v>
                </c:pt>
                <c:pt idx="81">
                  <c:v>823038.77953999792</c:v>
                </c:pt>
                <c:pt idx="82">
                  <c:v>826002.90841999801</c:v>
                </c:pt>
                <c:pt idx="83">
                  <c:v>792957.294899998</c:v>
                </c:pt>
                <c:pt idx="84">
                  <c:v>799503.91599999799</c:v>
                </c:pt>
                <c:pt idx="85">
                  <c:v>775244.27575999801</c:v>
                </c:pt>
                <c:pt idx="86">
                  <c:v>794034.38685999799</c:v>
                </c:pt>
                <c:pt idx="87">
                  <c:v>785187.25015999796</c:v>
                </c:pt>
                <c:pt idx="88">
                  <c:v>785397.15463999799</c:v>
                </c:pt>
                <c:pt idx="89">
                  <c:v>762873.94751999795</c:v>
                </c:pt>
                <c:pt idx="90">
                  <c:v>758311.16461999796</c:v>
                </c:pt>
                <c:pt idx="91">
                  <c:v>707449.82485999796</c:v>
                </c:pt>
                <c:pt idx="92">
                  <c:v>692774.59457999805</c:v>
                </c:pt>
                <c:pt idx="93">
                  <c:v>724745.69633999805</c:v>
                </c:pt>
                <c:pt idx="94">
                  <c:v>722728.38737999799</c:v>
                </c:pt>
                <c:pt idx="95">
                  <c:v>742573.91789999802</c:v>
                </c:pt>
                <c:pt idx="96">
                  <c:v>742003.592539998</c:v>
                </c:pt>
                <c:pt idx="97">
                  <c:v>747710.734799998</c:v>
                </c:pt>
                <c:pt idx="98">
                  <c:v>757530.17075999803</c:v>
                </c:pt>
                <c:pt idx="99">
                  <c:v>792815.04747999809</c:v>
                </c:pt>
                <c:pt idx="100">
                  <c:v>808866.69161999808</c:v>
                </c:pt>
                <c:pt idx="101">
                  <c:v>815149.15617999795</c:v>
                </c:pt>
                <c:pt idx="102">
                  <c:v>809760.94029999804</c:v>
                </c:pt>
                <c:pt idx="103">
                  <c:v>794324.90511999803</c:v>
                </c:pt>
                <c:pt idx="104">
                  <c:v>815700.39281999809</c:v>
                </c:pt>
                <c:pt idx="105">
                  <c:v>827000.36587999796</c:v>
                </c:pt>
                <c:pt idx="106">
                  <c:v>816374.729219998</c:v>
                </c:pt>
                <c:pt idx="107">
                  <c:v>854908.82013999799</c:v>
                </c:pt>
                <c:pt idx="108">
                  <c:v>848581.57287999801</c:v>
                </c:pt>
                <c:pt idx="109">
                  <c:v>811772.98093999806</c:v>
                </c:pt>
                <c:pt idx="110">
                  <c:v>828303.81731999794</c:v>
                </c:pt>
                <c:pt idx="111">
                  <c:v>829653.04709999799</c:v>
                </c:pt>
                <c:pt idx="112">
                  <c:v>800012.722079998</c:v>
                </c:pt>
                <c:pt idx="113">
                  <c:v>809855.30097999796</c:v>
                </c:pt>
                <c:pt idx="114">
                  <c:v>837969.48697999795</c:v>
                </c:pt>
                <c:pt idx="115">
                  <c:v>836453.47165999806</c:v>
                </c:pt>
                <c:pt idx="116">
                  <c:v>877590.401859998</c:v>
                </c:pt>
                <c:pt idx="117">
                  <c:v>908987.43375999795</c:v>
                </c:pt>
                <c:pt idx="118">
                  <c:v>910040.6101999979</c:v>
                </c:pt>
                <c:pt idx="119">
                  <c:v>883629.16395999806</c:v>
                </c:pt>
                <c:pt idx="120">
                  <c:v>860455.13865999808</c:v>
                </c:pt>
                <c:pt idx="121">
                  <c:v>883197.72467999789</c:v>
                </c:pt>
                <c:pt idx="122">
                  <c:v>926947.91331999807</c:v>
                </c:pt>
                <c:pt idx="123">
                  <c:v>955366.258099998</c:v>
                </c:pt>
                <c:pt idx="124">
                  <c:v>951276.37221999804</c:v>
                </c:pt>
                <c:pt idx="125">
                  <c:v>970615.2478399981</c:v>
                </c:pt>
                <c:pt idx="126">
                  <c:v>1030143.875679998</c:v>
                </c:pt>
                <c:pt idx="127">
                  <c:v>1059276.3194399981</c:v>
                </c:pt>
                <c:pt idx="128">
                  <c:v>1049952.450299998</c:v>
                </c:pt>
                <c:pt idx="129">
                  <c:v>1068161.3220599978</c:v>
                </c:pt>
                <c:pt idx="130">
                  <c:v>1129613.3022799981</c:v>
                </c:pt>
                <c:pt idx="131">
                  <c:v>1116954.9403999981</c:v>
                </c:pt>
                <c:pt idx="132">
                  <c:v>1110891.1726399981</c:v>
                </c:pt>
                <c:pt idx="133">
                  <c:v>1130107.0668399981</c:v>
                </c:pt>
                <c:pt idx="134">
                  <c:v>1096675.078659998</c:v>
                </c:pt>
                <c:pt idx="135">
                  <c:v>1123073.6941399979</c:v>
                </c:pt>
                <c:pt idx="136">
                  <c:v>1148430.8696799981</c:v>
                </c:pt>
                <c:pt idx="137">
                  <c:v>1182144.6394999982</c:v>
                </c:pt>
                <c:pt idx="138">
                  <c:v>1163151.559579998</c:v>
                </c:pt>
                <c:pt idx="139">
                  <c:v>1169883.125099998</c:v>
                </c:pt>
                <c:pt idx="140">
                  <c:v>1172367.230779998</c:v>
                </c:pt>
                <c:pt idx="141">
                  <c:v>1164856.7122999979</c:v>
                </c:pt>
                <c:pt idx="142">
                  <c:v>1211076.0867999981</c:v>
                </c:pt>
                <c:pt idx="143">
                  <c:v>1166320.9655399979</c:v>
                </c:pt>
                <c:pt idx="144">
                  <c:v>1197912.5126199978</c:v>
                </c:pt>
                <c:pt idx="145">
                  <c:v>1231450.9691199982</c:v>
                </c:pt>
                <c:pt idx="146">
                  <c:v>1216238.4937999998</c:v>
                </c:pt>
                <c:pt idx="147">
                  <c:v>1268212.7146000001</c:v>
                </c:pt>
                <c:pt idx="148">
                  <c:v>1250103.3031399981</c:v>
                </c:pt>
                <c:pt idx="149">
                  <c:v>1312779.81868</c:v>
                </c:pt>
                <c:pt idx="150">
                  <c:v>1323332.5023000001</c:v>
                </c:pt>
                <c:pt idx="151">
                  <c:v>1301315.8066199999</c:v>
                </c:pt>
                <c:pt idx="152">
                  <c:v>1313320.6998000001</c:v>
                </c:pt>
                <c:pt idx="153">
                  <c:v>1332273.80082</c:v>
                </c:pt>
                <c:pt idx="154">
                  <c:v>1342239.9067199999</c:v>
                </c:pt>
                <c:pt idx="155">
                  <c:v>1335568.95098</c:v>
                </c:pt>
                <c:pt idx="156">
                  <c:v>1296191.61362</c:v>
                </c:pt>
                <c:pt idx="157">
                  <c:v>1300014.2540599999</c:v>
                </c:pt>
                <c:pt idx="158">
                  <c:v>1263835.6978</c:v>
                </c:pt>
                <c:pt idx="159">
                  <c:v>1245181.1186599999</c:v>
                </c:pt>
                <c:pt idx="160">
                  <c:v>1264667.1247</c:v>
                </c:pt>
                <c:pt idx="161">
                  <c:v>1277145.3181799999</c:v>
                </c:pt>
                <c:pt idx="162">
                  <c:v>1319532.95126</c:v>
                </c:pt>
                <c:pt idx="163">
                  <c:v>1328673.6375199999</c:v>
                </c:pt>
                <c:pt idx="164">
                  <c:v>1306300.5374399999</c:v>
                </c:pt>
                <c:pt idx="165">
                  <c:v>1330343.22214</c:v>
                </c:pt>
                <c:pt idx="166">
                  <c:v>1306924.89234</c:v>
                </c:pt>
                <c:pt idx="167">
                  <c:v>1369715.6446199999</c:v>
                </c:pt>
                <c:pt idx="168">
                  <c:v>1339281.39102</c:v>
                </c:pt>
                <c:pt idx="169">
                  <c:v>1341725.97908</c:v>
                </c:pt>
                <c:pt idx="170">
                  <c:v>1386559.79296</c:v>
                </c:pt>
                <c:pt idx="171">
                  <c:v>1350690.6832000001</c:v>
                </c:pt>
                <c:pt idx="172">
                  <c:v>1349529.1229399999</c:v>
                </c:pt>
                <c:pt idx="173">
                  <c:v>1343056.4694000001</c:v>
                </c:pt>
                <c:pt idx="174">
                  <c:v>1320123.45716</c:v>
                </c:pt>
                <c:pt idx="175">
                  <c:v>1393325.6355599998</c:v>
                </c:pt>
                <c:pt idx="176">
                  <c:v>1374760.3180199999</c:v>
                </c:pt>
                <c:pt idx="177">
                  <c:v>1440583.8251</c:v>
                </c:pt>
                <c:pt idx="178">
                  <c:v>1441067.8738199999</c:v>
                </c:pt>
                <c:pt idx="179">
                  <c:v>1402049.23364</c:v>
                </c:pt>
                <c:pt idx="180">
                  <c:v>1405258.57672</c:v>
                </c:pt>
                <c:pt idx="181">
                  <c:v>1377933.3414999999</c:v>
                </c:pt>
                <c:pt idx="182">
                  <c:v>1347960.65228</c:v>
                </c:pt>
                <c:pt idx="183">
                  <c:v>1367688.5894200001</c:v>
                </c:pt>
                <c:pt idx="184">
                  <c:v>1392760.6655999999</c:v>
                </c:pt>
                <c:pt idx="185">
                  <c:v>1358555.94924</c:v>
                </c:pt>
                <c:pt idx="186">
                  <c:v>1347076.9948400001</c:v>
                </c:pt>
                <c:pt idx="187">
                  <c:v>1341942.74814</c:v>
                </c:pt>
                <c:pt idx="188">
                  <c:v>1350189.34384</c:v>
                </c:pt>
                <c:pt idx="189">
                  <c:v>1307911.0922599998</c:v>
                </c:pt>
                <c:pt idx="190">
                  <c:v>1316630.3040200002</c:v>
                </c:pt>
                <c:pt idx="191">
                  <c:v>1310999.5954199999</c:v>
                </c:pt>
                <c:pt idx="192">
                  <c:v>1338507.1556199999</c:v>
                </c:pt>
                <c:pt idx="193">
                  <c:v>1320155.6198999998</c:v>
                </c:pt>
                <c:pt idx="194">
                  <c:v>1339049.9795600001</c:v>
                </c:pt>
                <c:pt idx="195">
                  <c:v>1305114.0105599998</c:v>
                </c:pt>
                <c:pt idx="196">
                  <c:v>1326246.0197399999</c:v>
                </c:pt>
                <c:pt idx="197">
                  <c:v>1375809.88426</c:v>
                </c:pt>
                <c:pt idx="198">
                  <c:v>1313295.05244</c:v>
                </c:pt>
                <c:pt idx="199">
                  <c:v>1306567.93704</c:v>
                </c:pt>
                <c:pt idx="200">
                  <c:v>1258712.47426</c:v>
                </c:pt>
                <c:pt idx="201">
                  <c:v>1330087.7045</c:v>
                </c:pt>
                <c:pt idx="202">
                  <c:v>1382449.2760399999</c:v>
                </c:pt>
                <c:pt idx="203">
                  <c:v>1379842.5144</c:v>
                </c:pt>
                <c:pt idx="204">
                  <c:v>1396944.4550399999</c:v>
                </c:pt>
                <c:pt idx="205">
                  <c:v>1436893.9760199999</c:v>
                </c:pt>
                <c:pt idx="206">
                  <c:v>1460832.42136</c:v>
                </c:pt>
                <c:pt idx="207">
                  <c:v>1457445.62634</c:v>
                </c:pt>
                <c:pt idx="208">
                  <c:v>1466898.5929400001</c:v>
                </c:pt>
                <c:pt idx="209">
                  <c:v>1432589.7749399999</c:v>
                </c:pt>
                <c:pt idx="210">
                  <c:v>1407243.9117399999</c:v>
                </c:pt>
                <c:pt idx="211">
                  <c:v>1399377.20258</c:v>
                </c:pt>
                <c:pt idx="212">
                  <c:v>1450365.2078199999</c:v>
                </c:pt>
                <c:pt idx="213">
                  <c:v>1376111.98746</c:v>
                </c:pt>
                <c:pt idx="214">
                  <c:v>1340833.7577800001</c:v>
                </c:pt>
                <c:pt idx="215">
                  <c:v>1343177.8479800001</c:v>
                </c:pt>
                <c:pt idx="216">
                  <c:v>1404912.7236800001</c:v>
                </c:pt>
                <c:pt idx="217">
                  <c:v>1480531.1594799999</c:v>
                </c:pt>
                <c:pt idx="218">
                  <c:v>1498308.8864800001</c:v>
                </c:pt>
                <c:pt idx="219">
                  <c:v>1536767.86962</c:v>
                </c:pt>
                <c:pt idx="220">
                  <c:v>1526349.7113399999</c:v>
                </c:pt>
                <c:pt idx="221">
                  <c:v>1534947.5714799999</c:v>
                </c:pt>
                <c:pt idx="222">
                  <c:v>1544402.80168</c:v>
                </c:pt>
                <c:pt idx="223">
                  <c:v>1522613.3414</c:v>
                </c:pt>
                <c:pt idx="224">
                  <c:v>1513718.1842399999</c:v>
                </c:pt>
                <c:pt idx="225">
                  <c:v>1497200.48752</c:v>
                </c:pt>
                <c:pt idx="226">
                  <c:v>1543360.1163000001</c:v>
                </c:pt>
                <c:pt idx="227">
                  <c:v>1522266.7220600001</c:v>
                </c:pt>
                <c:pt idx="228">
                  <c:v>1520362.2379600001</c:v>
                </c:pt>
                <c:pt idx="229">
                  <c:v>1517615.03492</c:v>
                </c:pt>
                <c:pt idx="230">
                  <c:v>1550896.89904</c:v>
                </c:pt>
                <c:pt idx="231">
                  <c:v>1529106.5227000001</c:v>
                </c:pt>
                <c:pt idx="232">
                  <c:v>1537142.2272399999</c:v>
                </c:pt>
                <c:pt idx="233">
                  <c:v>1553626.87014</c:v>
                </c:pt>
                <c:pt idx="234">
                  <c:v>1486402.1682600002</c:v>
                </c:pt>
                <c:pt idx="235">
                  <c:v>1492541.0216399999</c:v>
                </c:pt>
                <c:pt idx="236">
                  <c:v>1519183.1841</c:v>
                </c:pt>
                <c:pt idx="237">
                  <c:v>1500926.43946</c:v>
                </c:pt>
                <c:pt idx="238">
                  <c:v>1488810.33018</c:v>
                </c:pt>
                <c:pt idx="239">
                  <c:v>1505467.0112400001</c:v>
                </c:pt>
                <c:pt idx="240">
                  <c:v>1498453.8327600001</c:v>
                </c:pt>
                <c:pt idx="241">
                  <c:v>1491092.31886</c:v>
                </c:pt>
                <c:pt idx="242">
                  <c:v>1485296.6669399999</c:v>
                </c:pt>
                <c:pt idx="243">
                  <c:v>1495715.05106</c:v>
                </c:pt>
                <c:pt idx="244">
                  <c:v>1503367.70976</c:v>
                </c:pt>
                <c:pt idx="245">
                  <c:v>1510820.5118799999</c:v>
                </c:pt>
                <c:pt idx="246">
                  <c:v>1523754.0475600001</c:v>
                </c:pt>
                <c:pt idx="247">
                  <c:v>1548318.12262</c:v>
                </c:pt>
                <c:pt idx="248">
                  <c:v>1617154.49514</c:v>
                </c:pt>
                <c:pt idx="249">
                  <c:v>1610022.0830999999</c:v>
                </c:pt>
                <c:pt idx="250">
                  <c:v>1591724.1294800001</c:v>
                </c:pt>
                <c:pt idx="251">
                  <c:v>1562242.8049399999</c:v>
                </c:pt>
                <c:pt idx="252">
                  <c:v>1531395.77244</c:v>
                </c:pt>
                <c:pt idx="253">
                  <c:v>1503914.3995999999</c:v>
                </c:pt>
                <c:pt idx="254">
                  <c:v>1485757.8211600001</c:v>
                </c:pt>
                <c:pt idx="255">
                  <c:v>1484124.5163199999</c:v>
                </c:pt>
                <c:pt idx="256">
                  <c:v>1495248.20542</c:v>
                </c:pt>
                <c:pt idx="257">
                  <c:v>1478366.0277799999</c:v>
                </c:pt>
                <c:pt idx="258">
                  <c:v>1485864.8888599998</c:v>
                </c:pt>
                <c:pt idx="259">
                  <c:v>1468445.0035399999</c:v>
                </c:pt>
                <c:pt idx="260">
                  <c:v>1514832.82378</c:v>
                </c:pt>
                <c:pt idx="261">
                  <c:v>1501502.5711600001</c:v>
                </c:pt>
                <c:pt idx="262">
                  <c:v>1519575.11176</c:v>
                </c:pt>
                <c:pt idx="263">
                  <c:v>1484948.28406</c:v>
                </c:pt>
                <c:pt idx="264">
                  <c:v>1546274.7912599999</c:v>
                </c:pt>
                <c:pt idx="265">
                  <c:v>1573649.1089400002</c:v>
                </c:pt>
                <c:pt idx="266">
                  <c:v>1529564.9778799999</c:v>
                </c:pt>
                <c:pt idx="267">
                  <c:v>1554727.6401</c:v>
                </c:pt>
                <c:pt idx="268">
                  <c:v>1546576.33198</c:v>
                </c:pt>
                <c:pt idx="269">
                  <c:v>1555694.0482999999</c:v>
                </c:pt>
                <c:pt idx="270">
                  <c:v>1550873.24578</c:v>
                </c:pt>
                <c:pt idx="271">
                  <c:v>1546934.57672</c:v>
                </c:pt>
                <c:pt idx="272">
                  <c:v>1547427.9289000002</c:v>
                </c:pt>
                <c:pt idx="273">
                  <c:v>1547626.8886800001</c:v>
                </c:pt>
                <c:pt idx="274">
                  <c:v>1589271.19444</c:v>
                </c:pt>
                <c:pt idx="275">
                  <c:v>1606289.2471</c:v>
                </c:pt>
                <c:pt idx="276">
                  <c:v>1625107.53152</c:v>
                </c:pt>
                <c:pt idx="277">
                  <c:v>1652634.5869400001</c:v>
                </c:pt>
                <c:pt idx="278">
                  <c:v>1624599.9406999999</c:v>
                </c:pt>
                <c:pt idx="279">
                  <c:v>1628240.0865199999</c:v>
                </c:pt>
                <c:pt idx="280">
                  <c:v>1618351.8006599999</c:v>
                </c:pt>
                <c:pt idx="281">
                  <c:v>1591974.459</c:v>
                </c:pt>
                <c:pt idx="282">
                  <c:v>1637706.0532</c:v>
                </c:pt>
                <c:pt idx="283">
                  <c:v>1607505.5550200001</c:v>
                </c:pt>
                <c:pt idx="284">
                  <c:v>1633238.6595000001</c:v>
                </c:pt>
                <c:pt idx="285">
                  <c:v>1641197.9376000001</c:v>
                </c:pt>
                <c:pt idx="286">
                  <c:v>1645902.8414999999</c:v>
                </c:pt>
                <c:pt idx="287">
                  <c:v>1598338.1095400001</c:v>
                </c:pt>
                <c:pt idx="288">
                  <c:v>1539373.44866</c:v>
                </c:pt>
                <c:pt idx="289">
                  <c:v>1517353.9688599999</c:v>
                </c:pt>
                <c:pt idx="290">
                  <c:v>1538235.9219</c:v>
                </c:pt>
                <c:pt idx="291">
                  <c:v>1523732.8607000001</c:v>
                </c:pt>
                <c:pt idx="292">
                  <c:v>1537230.21046</c:v>
                </c:pt>
                <c:pt idx="293">
                  <c:v>1562828.5481400001</c:v>
                </c:pt>
                <c:pt idx="294">
                  <c:v>1569768.0863999999</c:v>
                </c:pt>
                <c:pt idx="295">
                  <c:v>1595296.65506</c:v>
                </c:pt>
                <c:pt idx="296">
                  <c:v>1633338.9406600001</c:v>
                </c:pt>
                <c:pt idx="297">
                  <c:v>1647301.20924</c:v>
                </c:pt>
                <c:pt idx="298">
                  <c:v>1604297.86696</c:v>
                </c:pt>
                <c:pt idx="299">
                  <c:v>1621406.81592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9D-4297-A46A-235352BAFBCD}"/>
            </c:ext>
          </c:extLst>
        </c:ser>
        <c:ser>
          <c:idx val="12"/>
          <c:order val="12"/>
          <c:tx>
            <c:strRef>
              <c:f>创业板!$Q$1</c:f>
              <c:strCache>
                <c:ptCount val="1"/>
                <c:pt idx="0">
                  <c:v>LTR-DQN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创业板!$Q$2:$Q$302</c:f>
              <c:numCache>
                <c:formatCode>General</c:formatCode>
                <c:ptCount val="301"/>
                <c:pt idx="0">
                  <c:v>1000000</c:v>
                </c:pt>
                <c:pt idx="1">
                  <c:v>1002213.7053487593</c:v>
                </c:pt>
                <c:pt idx="2">
                  <c:v>957836.80021274276</c:v>
                </c:pt>
                <c:pt idx="3">
                  <c:v>985864.38215486077</c:v>
                </c:pt>
                <c:pt idx="4">
                  <c:v>988222.38448560506</c:v>
                </c:pt>
                <c:pt idx="5">
                  <c:v>983396.15320673282</c:v>
                </c:pt>
                <c:pt idx="6">
                  <c:v>1002493.2219519559</c:v>
                </c:pt>
                <c:pt idx="7">
                  <c:v>1005710.998361123</c:v>
                </c:pt>
                <c:pt idx="8">
                  <c:v>988365.62848483643</c:v>
                </c:pt>
                <c:pt idx="9">
                  <c:v>1041075.1578221662</c:v>
                </c:pt>
                <c:pt idx="10">
                  <c:v>1041075.1578221662</c:v>
                </c:pt>
                <c:pt idx="11">
                  <c:v>1041075.1578221662</c:v>
                </c:pt>
                <c:pt idx="12">
                  <c:v>1018740.2044732622</c:v>
                </c:pt>
                <c:pt idx="13">
                  <c:v>1020132.3606687877</c:v>
                </c:pt>
                <c:pt idx="14">
                  <c:v>1033302.3710262094</c:v>
                </c:pt>
                <c:pt idx="15">
                  <c:v>1042448.9036961778</c:v>
                </c:pt>
                <c:pt idx="16">
                  <c:v>1046970.4964911053</c:v>
                </c:pt>
                <c:pt idx="17">
                  <c:v>1077007.652806876</c:v>
                </c:pt>
                <c:pt idx="18">
                  <c:v>1045564.5367687871</c:v>
                </c:pt>
                <c:pt idx="19">
                  <c:v>1013457.4727022048</c:v>
                </c:pt>
                <c:pt idx="20">
                  <c:v>993654.98400735215</c:v>
                </c:pt>
                <c:pt idx="21">
                  <c:v>993654.98400735215</c:v>
                </c:pt>
                <c:pt idx="22">
                  <c:v>985637.59076909279</c:v>
                </c:pt>
                <c:pt idx="23">
                  <c:v>1025180.1622861361</c:v>
                </c:pt>
                <c:pt idx="24">
                  <c:v>982702.62454805907</c:v>
                </c:pt>
                <c:pt idx="25">
                  <c:v>999296.14096652647</c:v>
                </c:pt>
                <c:pt idx="26">
                  <c:v>1001055.2619797895</c:v>
                </c:pt>
                <c:pt idx="27">
                  <c:v>1035353.9725706</c:v>
                </c:pt>
                <c:pt idx="28">
                  <c:v>1049282.8382761397</c:v>
                </c:pt>
                <c:pt idx="29">
                  <c:v>1024922.8229666783</c:v>
                </c:pt>
                <c:pt idx="30">
                  <c:v>1001645.6440856118</c:v>
                </c:pt>
                <c:pt idx="31">
                  <c:v>958667.84589901404</c:v>
                </c:pt>
                <c:pt idx="32">
                  <c:v>958667.84589901404</c:v>
                </c:pt>
                <c:pt idx="33">
                  <c:v>958667.84589901404</c:v>
                </c:pt>
                <c:pt idx="34">
                  <c:v>932899.5829396802</c:v>
                </c:pt>
                <c:pt idx="35">
                  <c:v>924033.58110861841</c:v>
                </c:pt>
                <c:pt idx="36">
                  <c:v>916463.83449298865</c:v>
                </c:pt>
                <c:pt idx="37">
                  <c:v>915639.79488384398</c:v>
                </c:pt>
                <c:pt idx="38">
                  <c:v>940728.9634975784</c:v>
                </c:pt>
                <c:pt idx="39">
                  <c:v>926957.59408726811</c:v>
                </c:pt>
                <c:pt idx="40">
                  <c:v>926957.59408726811</c:v>
                </c:pt>
                <c:pt idx="41">
                  <c:v>912786.99410071573</c:v>
                </c:pt>
                <c:pt idx="42">
                  <c:v>892093.09675852535</c:v>
                </c:pt>
                <c:pt idx="43">
                  <c:v>892093.09675852535</c:v>
                </c:pt>
                <c:pt idx="44">
                  <c:v>892093.09675852535</c:v>
                </c:pt>
                <c:pt idx="45">
                  <c:v>892093.09675852535</c:v>
                </c:pt>
                <c:pt idx="46">
                  <c:v>946349.06969738612</c:v>
                </c:pt>
                <c:pt idx="47">
                  <c:v>957191.54545997875</c:v>
                </c:pt>
                <c:pt idx="48">
                  <c:v>957191.54545997875</c:v>
                </c:pt>
                <c:pt idx="49">
                  <c:v>957191.54545997875</c:v>
                </c:pt>
                <c:pt idx="50">
                  <c:v>957191.54545997875</c:v>
                </c:pt>
                <c:pt idx="51">
                  <c:v>1002173.3209312521</c:v>
                </c:pt>
                <c:pt idx="52">
                  <c:v>1013676.2654080064</c:v>
                </c:pt>
                <c:pt idx="53">
                  <c:v>1000528.9118698473</c:v>
                </c:pt>
                <c:pt idx="54">
                  <c:v>998627.10561532679</c:v>
                </c:pt>
                <c:pt idx="55">
                  <c:v>982959.04592329881</c:v>
                </c:pt>
                <c:pt idx="56">
                  <c:v>982959.04592329881</c:v>
                </c:pt>
                <c:pt idx="57">
                  <c:v>982959.04592329881</c:v>
                </c:pt>
                <c:pt idx="58">
                  <c:v>935381.37526730471</c:v>
                </c:pt>
                <c:pt idx="59">
                  <c:v>890817.52711679146</c:v>
                </c:pt>
                <c:pt idx="60">
                  <c:v>929626.66451247188</c:v>
                </c:pt>
                <c:pt idx="61">
                  <c:v>969410.07014880225</c:v>
                </c:pt>
                <c:pt idx="62">
                  <c:v>969410.07014880225</c:v>
                </c:pt>
                <c:pt idx="63">
                  <c:v>969410.07014880225</c:v>
                </c:pt>
                <c:pt idx="64">
                  <c:v>975768.15224347671</c:v>
                </c:pt>
                <c:pt idx="65">
                  <c:v>1010015.9752389669</c:v>
                </c:pt>
                <c:pt idx="66">
                  <c:v>1005653.3714231872</c:v>
                </c:pt>
                <c:pt idx="67">
                  <c:v>1048256.0173157569</c:v>
                </c:pt>
                <c:pt idx="68">
                  <c:v>1044686.7365174914</c:v>
                </c:pt>
                <c:pt idx="69">
                  <c:v>1044686.7365174914</c:v>
                </c:pt>
                <c:pt idx="70">
                  <c:v>1084336.6176140697</c:v>
                </c:pt>
                <c:pt idx="71">
                  <c:v>1120571.7590541099</c:v>
                </c:pt>
                <c:pt idx="72">
                  <c:v>1099521.3002079315</c:v>
                </c:pt>
                <c:pt idx="73">
                  <c:v>1109714.8996782335</c:v>
                </c:pt>
                <c:pt idx="74">
                  <c:v>1108507.7022110969</c:v>
                </c:pt>
                <c:pt idx="75">
                  <c:v>1108507.7022110969</c:v>
                </c:pt>
                <c:pt idx="76">
                  <c:v>1108507.7022110969</c:v>
                </c:pt>
                <c:pt idx="77">
                  <c:v>1257278.6608078228</c:v>
                </c:pt>
                <c:pt idx="78">
                  <c:v>1248583.8858569376</c:v>
                </c:pt>
                <c:pt idx="79">
                  <c:v>1213902.4891246427</c:v>
                </c:pt>
                <c:pt idx="80">
                  <c:v>1144969.7040212126</c:v>
                </c:pt>
                <c:pt idx="81">
                  <c:v>1111393.3029535469</c:v>
                </c:pt>
                <c:pt idx="82">
                  <c:v>1117153.0950799359</c:v>
                </c:pt>
                <c:pt idx="83">
                  <c:v>1054976.0850801878</c:v>
                </c:pt>
                <c:pt idx="84">
                  <c:v>1045053.2535483489</c:v>
                </c:pt>
                <c:pt idx="85">
                  <c:v>1013328.0890737941</c:v>
                </c:pt>
                <c:pt idx="86">
                  <c:v>1038032.6934251182</c:v>
                </c:pt>
                <c:pt idx="87">
                  <c:v>1010249.4988895438</c:v>
                </c:pt>
                <c:pt idx="88">
                  <c:v>1016602.84881226</c:v>
                </c:pt>
                <c:pt idx="89">
                  <c:v>987912.23061652936</c:v>
                </c:pt>
                <c:pt idx="90">
                  <c:v>965791.67517189553</c:v>
                </c:pt>
                <c:pt idx="91">
                  <c:v>965791.67517189553</c:v>
                </c:pt>
                <c:pt idx="92">
                  <c:v>946805.04241803521</c:v>
                </c:pt>
                <c:pt idx="93">
                  <c:v>990936.88082134479</c:v>
                </c:pt>
                <c:pt idx="94">
                  <c:v>976479.21235184011</c:v>
                </c:pt>
                <c:pt idx="95">
                  <c:v>1013444.6654266121</c:v>
                </c:pt>
                <c:pt idx="96">
                  <c:v>1016141.7740917157</c:v>
                </c:pt>
                <c:pt idx="97">
                  <c:v>1048654.1476278009</c:v>
                </c:pt>
                <c:pt idx="98">
                  <c:v>1059049.7294465629</c:v>
                </c:pt>
                <c:pt idx="99">
                  <c:v>1104215.5042293123</c:v>
                </c:pt>
                <c:pt idx="100">
                  <c:v>1118511.2486253856</c:v>
                </c:pt>
                <c:pt idx="101">
                  <c:v>1127321.5569057097</c:v>
                </c:pt>
                <c:pt idx="102">
                  <c:v>1118088.0997973063</c:v>
                </c:pt>
                <c:pt idx="103">
                  <c:v>1094894.039407186</c:v>
                </c:pt>
                <c:pt idx="104">
                  <c:v>1124412.1990414232</c:v>
                </c:pt>
                <c:pt idx="105">
                  <c:v>1140262.0763151392</c:v>
                </c:pt>
                <c:pt idx="106">
                  <c:v>1125607.9863308817</c:v>
                </c:pt>
                <c:pt idx="107">
                  <c:v>1178752.3885219391</c:v>
                </c:pt>
                <c:pt idx="108">
                  <c:v>1169571.2761635075</c:v>
                </c:pt>
                <c:pt idx="109">
                  <c:v>1169571.2761635075</c:v>
                </c:pt>
                <c:pt idx="110">
                  <c:v>1177590.3018067961</c:v>
                </c:pt>
                <c:pt idx="111">
                  <c:v>1179519.6202252163</c:v>
                </c:pt>
                <c:pt idx="112">
                  <c:v>1137299.3154384324</c:v>
                </c:pt>
                <c:pt idx="113">
                  <c:v>1151303.5938202695</c:v>
                </c:pt>
                <c:pt idx="114">
                  <c:v>1151303.5938202695</c:v>
                </c:pt>
                <c:pt idx="115">
                  <c:v>1121224.8102645255</c:v>
                </c:pt>
                <c:pt idx="116">
                  <c:v>1178121.8414854661</c:v>
                </c:pt>
                <c:pt idx="117">
                  <c:v>1233958.1032495631</c:v>
                </c:pt>
                <c:pt idx="118">
                  <c:v>1233958.1032495631</c:v>
                </c:pt>
                <c:pt idx="119">
                  <c:v>1233958.1032495631</c:v>
                </c:pt>
                <c:pt idx="120">
                  <c:v>1201532.995130393</c:v>
                </c:pt>
                <c:pt idx="121">
                  <c:v>1242967.1077868359</c:v>
                </c:pt>
                <c:pt idx="122">
                  <c:v>1306645.6459903689</c:v>
                </c:pt>
                <c:pt idx="123">
                  <c:v>1306645.6459903689</c:v>
                </c:pt>
                <c:pt idx="124">
                  <c:v>1253161.3596439462</c:v>
                </c:pt>
                <c:pt idx="125">
                  <c:v>1278699.5278252563</c:v>
                </c:pt>
                <c:pt idx="126">
                  <c:v>1357327.3440180961</c:v>
                </c:pt>
                <c:pt idx="127">
                  <c:v>1387106.4368655097</c:v>
                </c:pt>
                <c:pt idx="128">
                  <c:v>1387106.4368655097</c:v>
                </c:pt>
                <c:pt idx="129">
                  <c:v>1387106.4368655097</c:v>
                </c:pt>
                <c:pt idx="130">
                  <c:v>1467268.0061110319</c:v>
                </c:pt>
                <c:pt idx="131">
                  <c:v>1468359.1763114058</c:v>
                </c:pt>
                <c:pt idx="132">
                  <c:v>1441316.7342628802</c:v>
                </c:pt>
                <c:pt idx="133">
                  <c:v>1433458.9838483762</c:v>
                </c:pt>
                <c:pt idx="134">
                  <c:v>1433458.9838483762</c:v>
                </c:pt>
                <c:pt idx="135">
                  <c:v>1484857.6222736016</c:v>
                </c:pt>
                <c:pt idx="136">
                  <c:v>1518536.8499489762</c:v>
                </c:pt>
                <c:pt idx="137">
                  <c:v>1563293.384745802</c:v>
                </c:pt>
                <c:pt idx="138">
                  <c:v>1528873.7365150566</c:v>
                </c:pt>
                <c:pt idx="139">
                  <c:v>1528873.7365150566</c:v>
                </c:pt>
                <c:pt idx="140">
                  <c:v>1534833.2633215005</c:v>
                </c:pt>
                <c:pt idx="141">
                  <c:v>1621987.0824870744</c:v>
                </c:pt>
                <c:pt idx="142">
                  <c:v>1665357.1067162687</c:v>
                </c:pt>
                <c:pt idx="143">
                  <c:v>1598374.5764579051</c:v>
                </c:pt>
                <c:pt idx="144">
                  <c:v>1640433.3122165331</c:v>
                </c:pt>
                <c:pt idx="145">
                  <c:v>1640433.3122165331</c:v>
                </c:pt>
                <c:pt idx="146">
                  <c:v>1640433.3122165331</c:v>
                </c:pt>
                <c:pt idx="147">
                  <c:v>1709096.9942877253</c:v>
                </c:pt>
                <c:pt idx="148">
                  <c:v>1684585.785199536</c:v>
                </c:pt>
                <c:pt idx="149">
                  <c:v>1769155.3475668584</c:v>
                </c:pt>
                <c:pt idx="150">
                  <c:v>1841153.5273190215</c:v>
                </c:pt>
                <c:pt idx="151">
                  <c:v>1806584.05750589</c:v>
                </c:pt>
                <c:pt idx="152">
                  <c:v>1926324.9617418649</c:v>
                </c:pt>
                <c:pt idx="153">
                  <c:v>1954189.8934108384</c:v>
                </c:pt>
                <c:pt idx="154">
                  <c:v>1954189.8934108384</c:v>
                </c:pt>
                <c:pt idx="155">
                  <c:v>1954189.8934108384</c:v>
                </c:pt>
                <c:pt idx="156">
                  <c:v>1911650.7502633324</c:v>
                </c:pt>
                <c:pt idx="157">
                  <c:v>1929657.8783009576</c:v>
                </c:pt>
                <c:pt idx="158">
                  <c:v>1875722.7499741463</c:v>
                </c:pt>
                <c:pt idx="159">
                  <c:v>1847928.5770003991</c:v>
                </c:pt>
                <c:pt idx="160">
                  <c:v>1907230.4493182802</c:v>
                </c:pt>
                <c:pt idx="161">
                  <c:v>1904880.5493867691</c:v>
                </c:pt>
                <c:pt idx="162">
                  <c:v>1916621.2234577606</c:v>
                </c:pt>
                <c:pt idx="163">
                  <c:v>1898995.9461268978</c:v>
                </c:pt>
                <c:pt idx="164">
                  <c:v>1866988.0917603893</c:v>
                </c:pt>
                <c:pt idx="165">
                  <c:v>1920448.4083386722</c:v>
                </c:pt>
                <c:pt idx="166">
                  <c:v>1893993.4209042045</c:v>
                </c:pt>
                <c:pt idx="167">
                  <c:v>1929964.3394703625</c:v>
                </c:pt>
                <c:pt idx="168">
                  <c:v>1916977.1200907247</c:v>
                </c:pt>
                <c:pt idx="169">
                  <c:v>1982592.0976506141</c:v>
                </c:pt>
                <c:pt idx="170">
                  <c:v>2083932.5247821603</c:v>
                </c:pt>
                <c:pt idx="171">
                  <c:v>2083932.5247821603</c:v>
                </c:pt>
                <c:pt idx="172">
                  <c:v>2063967.5167587935</c:v>
                </c:pt>
                <c:pt idx="173">
                  <c:v>2053536.596211069</c:v>
                </c:pt>
                <c:pt idx="174">
                  <c:v>2000341.9308055867</c:v>
                </c:pt>
                <c:pt idx="175">
                  <c:v>2126263.0625185827</c:v>
                </c:pt>
                <c:pt idx="176">
                  <c:v>2088854.8489874066</c:v>
                </c:pt>
                <c:pt idx="177">
                  <c:v>2033100.7469661438</c:v>
                </c:pt>
                <c:pt idx="178">
                  <c:v>2033792.4019195272</c:v>
                </c:pt>
                <c:pt idx="179">
                  <c:v>1978629.3199837857</c:v>
                </c:pt>
                <c:pt idx="180">
                  <c:v>1956653.9094948622</c:v>
                </c:pt>
                <c:pt idx="181">
                  <c:v>1925984.3404892543</c:v>
                </c:pt>
                <c:pt idx="182">
                  <c:v>1878924.8399197888</c:v>
                </c:pt>
                <c:pt idx="183">
                  <c:v>1913140.128620289</c:v>
                </c:pt>
                <c:pt idx="184">
                  <c:v>1968857.7140874462</c:v>
                </c:pt>
                <c:pt idx="185">
                  <c:v>1927292.9195523837</c:v>
                </c:pt>
                <c:pt idx="186">
                  <c:v>1910209.8340196947</c:v>
                </c:pt>
                <c:pt idx="187">
                  <c:v>1902887.9680915722</c:v>
                </c:pt>
                <c:pt idx="188">
                  <c:v>1876544.2645763338</c:v>
                </c:pt>
                <c:pt idx="189">
                  <c:v>1838327.8571628793</c:v>
                </c:pt>
                <c:pt idx="190">
                  <c:v>1882848.9974364098</c:v>
                </c:pt>
                <c:pt idx="191">
                  <c:v>1802232.6898082669</c:v>
                </c:pt>
                <c:pt idx="192">
                  <c:v>1778599.19625418</c:v>
                </c:pt>
                <c:pt idx="193">
                  <c:v>1754136.2424634809</c:v>
                </c:pt>
                <c:pt idx="194">
                  <c:v>1785691.4090662312</c:v>
                </c:pt>
                <c:pt idx="195">
                  <c:v>1718389.2239758787</c:v>
                </c:pt>
                <c:pt idx="196">
                  <c:v>1722324.1899187164</c:v>
                </c:pt>
                <c:pt idx="197">
                  <c:v>1746889.988094067</c:v>
                </c:pt>
                <c:pt idx="198">
                  <c:v>1636373.2165121573</c:v>
                </c:pt>
                <c:pt idx="199">
                  <c:v>1627965.695200878</c:v>
                </c:pt>
                <c:pt idx="200">
                  <c:v>1627965.695200878</c:v>
                </c:pt>
                <c:pt idx="201">
                  <c:v>1583977.2374939432</c:v>
                </c:pt>
                <c:pt idx="202">
                  <c:v>1673199.5395809237</c:v>
                </c:pt>
                <c:pt idx="203">
                  <c:v>1722445.4481248066</c:v>
                </c:pt>
                <c:pt idx="204">
                  <c:v>1719190.8809529068</c:v>
                </c:pt>
                <c:pt idx="205">
                  <c:v>1729604.0510581443</c:v>
                </c:pt>
                <c:pt idx="206">
                  <c:v>1740683.1957372616</c:v>
                </c:pt>
                <c:pt idx="207">
                  <c:v>1796260.8596135147</c:v>
                </c:pt>
                <c:pt idx="208">
                  <c:v>1799279.6227016749</c:v>
                </c:pt>
                <c:pt idx="209">
                  <c:v>1779484.6662265642</c:v>
                </c:pt>
                <c:pt idx="210">
                  <c:v>1744206.3419944125</c:v>
                </c:pt>
                <c:pt idx="211">
                  <c:v>1722280.8150718657</c:v>
                </c:pt>
                <c:pt idx="212">
                  <c:v>1674385.9951144983</c:v>
                </c:pt>
                <c:pt idx="213">
                  <c:v>1712794.9590813862</c:v>
                </c:pt>
                <c:pt idx="214">
                  <c:v>1624861.9631094849</c:v>
                </c:pt>
                <c:pt idx="215">
                  <c:v>1624861.9631094849</c:v>
                </c:pt>
                <c:pt idx="216">
                  <c:v>1630075.5658784525</c:v>
                </c:pt>
                <c:pt idx="217">
                  <c:v>1666167.9375717114</c:v>
                </c:pt>
                <c:pt idx="218">
                  <c:v>1741559.8030266808</c:v>
                </c:pt>
                <c:pt idx="219">
                  <c:v>1763153.4521646842</c:v>
                </c:pt>
                <c:pt idx="220">
                  <c:v>1796596.9734397186</c:v>
                </c:pt>
                <c:pt idx="221">
                  <c:v>1796596.9734397186</c:v>
                </c:pt>
                <c:pt idx="222">
                  <c:v>1806747.0037619651</c:v>
                </c:pt>
                <c:pt idx="223">
                  <c:v>1778533.2542178503</c:v>
                </c:pt>
                <c:pt idx="224">
                  <c:v>1753686.8079265542</c:v>
                </c:pt>
                <c:pt idx="225">
                  <c:v>1665550.5750851301</c:v>
                </c:pt>
                <c:pt idx="226">
                  <c:v>1637065.6721619242</c:v>
                </c:pt>
                <c:pt idx="227">
                  <c:v>1687638.1399202514</c:v>
                </c:pt>
                <c:pt idx="228">
                  <c:v>1664502.9427012333</c:v>
                </c:pt>
                <c:pt idx="229">
                  <c:v>1662411.1275854229</c:v>
                </c:pt>
                <c:pt idx="230">
                  <c:v>1662411.1275854229</c:v>
                </c:pt>
                <c:pt idx="231">
                  <c:v>1647902.6626009396</c:v>
                </c:pt>
                <c:pt idx="232">
                  <c:v>1636402.9541077153</c:v>
                </c:pt>
                <c:pt idx="233">
                  <c:v>1701060.0530545521</c:v>
                </c:pt>
                <c:pt idx="234">
                  <c:v>1719309.8663845877</c:v>
                </c:pt>
                <c:pt idx="235">
                  <c:v>1644841.4845180095</c:v>
                </c:pt>
                <c:pt idx="236">
                  <c:v>1723233.9774587231</c:v>
                </c:pt>
                <c:pt idx="237">
                  <c:v>1773068.2756569558</c:v>
                </c:pt>
                <c:pt idx="238">
                  <c:v>1731412.8306503911</c:v>
                </c:pt>
                <c:pt idx="239">
                  <c:v>1703086.3688661642</c:v>
                </c:pt>
                <c:pt idx="240">
                  <c:v>1697042.2337874207</c:v>
                </c:pt>
                <c:pt idx="241">
                  <c:v>1689046.9220839811</c:v>
                </c:pt>
                <c:pt idx="242">
                  <c:v>1667933.940984986</c:v>
                </c:pt>
                <c:pt idx="243">
                  <c:v>1657273.8589465504</c:v>
                </c:pt>
                <c:pt idx="244">
                  <c:v>1637601.1856753686</c:v>
                </c:pt>
                <c:pt idx="245">
                  <c:v>1672820.3323832864</c:v>
                </c:pt>
                <c:pt idx="246">
                  <c:v>1672820.3323832864</c:v>
                </c:pt>
                <c:pt idx="247">
                  <c:v>1687172.3952547717</c:v>
                </c:pt>
                <c:pt idx="248">
                  <c:v>1714391.2804149606</c:v>
                </c:pt>
                <c:pt idx="249">
                  <c:v>1812724.9774751291</c:v>
                </c:pt>
                <c:pt idx="250">
                  <c:v>1832174.7714613886</c:v>
                </c:pt>
                <c:pt idx="251">
                  <c:v>1863351.2652285453</c:v>
                </c:pt>
                <c:pt idx="252">
                  <c:v>1766087.9727744348</c:v>
                </c:pt>
                <c:pt idx="253">
                  <c:v>1766087.9727744348</c:v>
                </c:pt>
                <c:pt idx="254">
                  <c:v>1734379.6455391331</c:v>
                </c:pt>
                <c:pt idx="255">
                  <c:v>1713354.3356687326</c:v>
                </c:pt>
                <c:pt idx="256">
                  <c:v>1712885.8795997901</c:v>
                </c:pt>
                <c:pt idx="257">
                  <c:v>1719761.3187495533</c:v>
                </c:pt>
                <c:pt idx="258">
                  <c:v>1702650.9652833061</c:v>
                </c:pt>
                <c:pt idx="259">
                  <c:v>1711335.3356048022</c:v>
                </c:pt>
                <c:pt idx="260">
                  <c:v>1691235.5943534372</c:v>
                </c:pt>
                <c:pt idx="261">
                  <c:v>1744696.328686974</c:v>
                </c:pt>
                <c:pt idx="262">
                  <c:v>1730816.4873956151</c:v>
                </c:pt>
                <c:pt idx="263">
                  <c:v>1734413.6012164601</c:v>
                </c:pt>
                <c:pt idx="264">
                  <c:v>1667357.1885117665</c:v>
                </c:pt>
                <c:pt idx="265">
                  <c:v>1667357.1885117665</c:v>
                </c:pt>
                <c:pt idx="266">
                  <c:v>1667357.1885117665</c:v>
                </c:pt>
                <c:pt idx="267">
                  <c:v>1606891.7851758932</c:v>
                </c:pt>
                <c:pt idx="268">
                  <c:v>1633340.330523114</c:v>
                </c:pt>
                <c:pt idx="269">
                  <c:v>1624746.4907619057</c:v>
                </c:pt>
                <c:pt idx="270">
                  <c:v>1648469.7341676739</c:v>
                </c:pt>
                <c:pt idx="271">
                  <c:v>1666983.4244855905</c:v>
                </c:pt>
                <c:pt idx="272">
                  <c:v>1635174.9691510373</c:v>
                </c:pt>
                <c:pt idx="273">
                  <c:v>1635174.9691510373</c:v>
                </c:pt>
                <c:pt idx="274">
                  <c:v>1635362.5509366444</c:v>
                </c:pt>
                <c:pt idx="275">
                  <c:v>1646904.1208935026</c:v>
                </c:pt>
                <c:pt idx="276">
                  <c:v>1669908.6346824553</c:v>
                </c:pt>
                <c:pt idx="277">
                  <c:v>1724253.4319764625</c:v>
                </c:pt>
                <c:pt idx="278">
                  <c:v>1798175.3192097011</c:v>
                </c:pt>
                <c:pt idx="279">
                  <c:v>1763245.2727106188</c:v>
                </c:pt>
                <c:pt idx="280">
                  <c:v>1767211.1848185128</c:v>
                </c:pt>
                <c:pt idx="281">
                  <c:v>1756460.8158023264</c:v>
                </c:pt>
                <c:pt idx="282">
                  <c:v>1730316.5446944358</c:v>
                </c:pt>
                <c:pt idx="283">
                  <c:v>1764547.7627837802</c:v>
                </c:pt>
                <c:pt idx="284">
                  <c:v>1731980.6308678237</c:v>
                </c:pt>
                <c:pt idx="285">
                  <c:v>1776318.1335993728</c:v>
                </c:pt>
                <c:pt idx="286">
                  <c:v>1784988.2187556047</c:v>
                </c:pt>
                <c:pt idx="287">
                  <c:v>1790031.607750552</c:v>
                </c:pt>
                <c:pt idx="288">
                  <c:v>1790031.607750552</c:v>
                </c:pt>
                <c:pt idx="289">
                  <c:v>1790031.607750552</c:v>
                </c:pt>
                <c:pt idx="290">
                  <c:v>1750332.8308212918</c:v>
                </c:pt>
                <c:pt idx="291">
                  <c:v>1755570.3645860124</c:v>
                </c:pt>
                <c:pt idx="292">
                  <c:v>1739000.2239088698</c:v>
                </c:pt>
                <c:pt idx="293">
                  <c:v>1743868.6511334779</c:v>
                </c:pt>
                <c:pt idx="294">
                  <c:v>1772950.2906287881</c:v>
                </c:pt>
                <c:pt idx="295">
                  <c:v>1804618.0641908005</c:v>
                </c:pt>
                <c:pt idx="296">
                  <c:v>1804618.0641908005</c:v>
                </c:pt>
                <c:pt idx="297">
                  <c:v>1847711.1207961012</c:v>
                </c:pt>
                <c:pt idx="298">
                  <c:v>1863521.0631465535</c:v>
                </c:pt>
                <c:pt idx="299">
                  <c:v>1814760.8469353328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9D-4297-A46A-235352BAF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460239"/>
        <c:axId val="75146167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创业板!$G$1</c15:sqref>
                        </c15:formulaRef>
                      </c:ext>
                    </c:extLst>
                    <c:strCache>
                      <c:ptCount val="1"/>
                      <c:pt idx="0">
                        <c:v>qid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创业板!$G$2:$G$301</c15:sqref>
                        </c15:formulaRef>
                      </c:ext>
                    </c:extLst>
                    <c:strCache>
                      <c:ptCount val="263"/>
                      <c:pt idx="0">
                        <c:v>2021/Q4</c:v>
                      </c:pt>
                      <c:pt idx="30">
                        <c:v>2022/Q1</c:v>
                      </c:pt>
                      <c:pt idx="78">
                        <c:v>2022/Q2</c:v>
                      </c:pt>
                      <c:pt idx="137">
                        <c:v>2022/Q3</c:v>
                      </c:pt>
                      <c:pt idx="202">
                        <c:v>2022/Q4</c:v>
                      </c:pt>
                      <c:pt idx="262">
                        <c:v>2023/Q1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创业板!$G$2:$G$302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0</c:v>
                      </c:pt>
                      <c:pt idx="30">
                        <c:v>0</c:v>
                      </c:pt>
                      <c:pt idx="78">
                        <c:v>0</c:v>
                      </c:pt>
                      <c:pt idx="137">
                        <c:v>0</c:v>
                      </c:pt>
                      <c:pt idx="202">
                        <c:v>0</c:v>
                      </c:pt>
                      <c:pt idx="26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39D-4297-A46A-235352BAFBCD}"/>
                  </c:ext>
                </c:extLst>
              </c15:ser>
            </c15:filteredLineSeries>
          </c:ext>
        </c:extLst>
      </c:lineChart>
      <c:catAx>
        <c:axId val="7514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51461679"/>
        <c:crosses val="autoZero"/>
        <c:auto val="1"/>
        <c:lblAlgn val="ctr"/>
        <c:lblOffset val="100"/>
        <c:noMultiLvlLbl val="1"/>
      </c:catAx>
      <c:valAx>
        <c:axId val="7514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5146023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1672468982920375E-4"/>
          <c:y val="1.330671989354624E-2"/>
          <c:w val="0.99918327531017082"/>
          <c:h val="8.8157962290641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创业板!$P$1</c:f>
              <c:strCache>
                <c:ptCount val="1"/>
                <c:pt idx="0">
                  <c:v>LambdaMART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创业板!$P$2:$P$301</c:f>
              <c:numCache>
                <c:formatCode>General</c:formatCode>
                <c:ptCount val="300"/>
                <c:pt idx="0">
                  <c:v>1000000</c:v>
                </c:pt>
                <c:pt idx="1">
                  <c:v>1002175.7464400001</c:v>
                </c:pt>
                <c:pt idx="2">
                  <c:v>961298.82246000005</c:v>
                </c:pt>
                <c:pt idx="3">
                  <c:v>989360.96372</c:v>
                </c:pt>
                <c:pt idx="4">
                  <c:v>991866.38925999997</c:v>
                </c:pt>
                <c:pt idx="5">
                  <c:v>987062.69949999987</c:v>
                </c:pt>
                <c:pt idx="6">
                  <c:v>988360.30857999995</c:v>
                </c:pt>
                <c:pt idx="7">
                  <c:v>991452.60127999797</c:v>
                </c:pt>
                <c:pt idx="8">
                  <c:v>972164.08349999809</c:v>
                </c:pt>
                <c:pt idx="9">
                  <c:v>963894.16639999801</c:v>
                </c:pt>
                <c:pt idx="10">
                  <c:v>981407.10187999788</c:v>
                </c:pt>
                <c:pt idx="11">
                  <c:v>959536.14777999802</c:v>
                </c:pt>
                <c:pt idx="12">
                  <c:v>938972.34553999803</c:v>
                </c:pt>
                <c:pt idx="13">
                  <c:v>926587.97471999808</c:v>
                </c:pt>
                <c:pt idx="14">
                  <c:v>938517.91843999794</c:v>
                </c:pt>
                <c:pt idx="15">
                  <c:v>947563.88393999799</c:v>
                </c:pt>
                <c:pt idx="16">
                  <c:v>942451.00132000004</c:v>
                </c:pt>
                <c:pt idx="17">
                  <c:v>964066.32215999998</c:v>
                </c:pt>
                <c:pt idx="18">
                  <c:v>952247.67661999795</c:v>
                </c:pt>
                <c:pt idx="19">
                  <c:v>924130.96587999794</c:v>
                </c:pt>
                <c:pt idx="20">
                  <c:v>906126.98239999986</c:v>
                </c:pt>
                <c:pt idx="21">
                  <c:v>914610.00797999802</c:v>
                </c:pt>
                <c:pt idx="22">
                  <c:v>913933.31952000002</c:v>
                </c:pt>
                <c:pt idx="23">
                  <c:v>937872.33387999795</c:v>
                </c:pt>
                <c:pt idx="24">
                  <c:v>911054.46061999793</c:v>
                </c:pt>
                <c:pt idx="25">
                  <c:v>933325.03477999789</c:v>
                </c:pt>
                <c:pt idx="26">
                  <c:v>911561.98257999797</c:v>
                </c:pt>
                <c:pt idx="27">
                  <c:v>937851.617719998</c:v>
                </c:pt>
                <c:pt idx="28">
                  <c:v>942543.57152</c:v>
                </c:pt>
                <c:pt idx="29">
                  <c:v>924947.79756000009</c:v>
                </c:pt>
                <c:pt idx="30">
                  <c:v>888333.57173999993</c:v>
                </c:pt>
                <c:pt idx="31">
                  <c:v>851265.65578000003</c:v>
                </c:pt>
                <c:pt idx="32">
                  <c:v>836199.41674000002</c:v>
                </c:pt>
                <c:pt idx="33">
                  <c:v>848858.34945999994</c:v>
                </c:pt>
                <c:pt idx="34">
                  <c:v>832103.33860000002</c:v>
                </c:pt>
                <c:pt idx="35">
                  <c:v>837731.69432000001</c:v>
                </c:pt>
                <c:pt idx="36">
                  <c:v>829330.285619998</c:v>
                </c:pt>
                <c:pt idx="37">
                  <c:v>826724.84325999999</c:v>
                </c:pt>
                <c:pt idx="38">
                  <c:v>847770.24745999998</c:v>
                </c:pt>
                <c:pt idx="39">
                  <c:v>835448.53241999994</c:v>
                </c:pt>
                <c:pt idx="40">
                  <c:v>852931.77667999989</c:v>
                </c:pt>
                <c:pt idx="41">
                  <c:v>841122.96686000004</c:v>
                </c:pt>
                <c:pt idx="42">
                  <c:v>814183.27605999995</c:v>
                </c:pt>
                <c:pt idx="43">
                  <c:v>814183.27605999995</c:v>
                </c:pt>
                <c:pt idx="44">
                  <c:v>814183.27605999995</c:v>
                </c:pt>
                <c:pt idx="45">
                  <c:v>814183.27605999995</c:v>
                </c:pt>
                <c:pt idx="46">
                  <c:v>827479.36965999799</c:v>
                </c:pt>
                <c:pt idx="47">
                  <c:v>825245.58299999801</c:v>
                </c:pt>
                <c:pt idx="48">
                  <c:v>816696.75847999798</c:v>
                </c:pt>
                <c:pt idx="49">
                  <c:v>825618.62059999793</c:v>
                </c:pt>
                <c:pt idx="50">
                  <c:v>873447.08127999806</c:v>
                </c:pt>
                <c:pt idx="51">
                  <c:v>875463.77195999806</c:v>
                </c:pt>
                <c:pt idx="52">
                  <c:v>884282.2486999979</c:v>
                </c:pt>
                <c:pt idx="53">
                  <c:v>884450.72309999797</c:v>
                </c:pt>
                <c:pt idx="54">
                  <c:v>892963.92179999803</c:v>
                </c:pt>
                <c:pt idx="55">
                  <c:v>883024.15441999992</c:v>
                </c:pt>
                <c:pt idx="56">
                  <c:v>874527.11067999993</c:v>
                </c:pt>
                <c:pt idx="57">
                  <c:v>856508.97653999797</c:v>
                </c:pt>
                <c:pt idx="58">
                  <c:v>830451.91591999796</c:v>
                </c:pt>
                <c:pt idx="59">
                  <c:v>790970.21129999799</c:v>
                </c:pt>
                <c:pt idx="60">
                  <c:v>824438.21489999793</c:v>
                </c:pt>
                <c:pt idx="61">
                  <c:v>822435.977919998</c:v>
                </c:pt>
                <c:pt idx="62">
                  <c:v>822864.47323999798</c:v>
                </c:pt>
                <c:pt idx="63">
                  <c:v>782185.33149999799</c:v>
                </c:pt>
                <c:pt idx="64">
                  <c:v>778697.76123999804</c:v>
                </c:pt>
                <c:pt idx="65">
                  <c:v>808159.20715999801</c:v>
                </c:pt>
                <c:pt idx="66">
                  <c:v>818771.48553999804</c:v>
                </c:pt>
                <c:pt idx="67">
                  <c:v>853265.7221999981</c:v>
                </c:pt>
                <c:pt idx="68">
                  <c:v>850347.33355999796</c:v>
                </c:pt>
                <c:pt idx="69">
                  <c:v>813546.542239998</c:v>
                </c:pt>
                <c:pt idx="70">
                  <c:v>820391.12005999801</c:v>
                </c:pt>
                <c:pt idx="71">
                  <c:v>847646.62105999794</c:v>
                </c:pt>
                <c:pt idx="72">
                  <c:v>835125.14483999799</c:v>
                </c:pt>
                <c:pt idx="73">
                  <c:v>835893.91784000001</c:v>
                </c:pt>
                <c:pt idx="74">
                  <c:v>844210.33675999998</c:v>
                </c:pt>
                <c:pt idx="75">
                  <c:v>864884.53759999794</c:v>
                </c:pt>
                <c:pt idx="76">
                  <c:v>869544.97353999806</c:v>
                </c:pt>
                <c:pt idx="77">
                  <c:v>911448.59643999801</c:v>
                </c:pt>
                <c:pt idx="78">
                  <c:v>890518.93313999998</c:v>
                </c:pt>
                <c:pt idx="79">
                  <c:v>868777.17520000006</c:v>
                </c:pt>
                <c:pt idx="80">
                  <c:v>842105.65039999806</c:v>
                </c:pt>
                <c:pt idx="81">
                  <c:v>823038.77953999792</c:v>
                </c:pt>
                <c:pt idx="82">
                  <c:v>826002.90841999801</c:v>
                </c:pt>
                <c:pt idx="83">
                  <c:v>792957.294899998</c:v>
                </c:pt>
                <c:pt idx="84">
                  <c:v>799503.91599999799</c:v>
                </c:pt>
                <c:pt idx="85">
                  <c:v>775244.27575999801</c:v>
                </c:pt>
                <c:pt idx="86">
                  <c:v>794034.38685999799</c:v>
                </c:pt>
                <c:pt idx="87">
                  <c:v>785187.25015999796</c:v>
                </c:pt>
                <c:pt idx="88">
                  <c:v>785397.15463999799</c:v>
                </c:pt>
                <c:pt idx="89">
                  <c:v>762873.94751999795</c:v>
                </c:pt>
                <c:pt idx="90">
                  <c:v>758311.16461999796</c:v>
                </c:pt>
                <c:pt idx="91">
                  <c:v>707449.82485999796</c:v>
                </c:pt>
                <c:pt idx="92">
                  <c:v>692774.59457999805</c:v>
                </c:pt>
                <c:pt idx="93">
                  <c:v>724745.69633999805</c:v>
                </c:pt>
                <c:pt idx="94">
                  <c:v>722728.38737999799</c:v>
                </c:pt>
                <c:pt idx="95">
                  <c:v>742573.91789999802</c:v>
                </c:pt>
                <c:pt idx="96">
                  <c:v>742003.592539998</c:v>
                </c:pt>
                <c:pt idx="97">
                  <c:v>747710.734799998</c:v>
                </c:pt>
                <c:pt idx="98">
                  <c:v>757530.17075999803</c:v>
                </c:pt>
                <c:pt idx="99">
                  <c:v>792815.04747999809</c:v>
                </c:pt>
                <c:pt idx="100">
                  <c:v>808866.69161999808</c:v>
                </c:pt>
                <c:pt idx="101">
                  <c:v>815149.15617999795</c:v>
                </c:pt>
                <c:pt idx="102">
                  <c:v>809760.94029999804</c:v>
                </c:pt>
                <c:pt idx="103">
                  <c:v>794324.90511999803</c:v>
                </c:pt>
                <c:pt idx="104">
                  <c:v>815700.39281999809</c:v>
                </c:pt>
                <c:pt idx="105">
                  <c:v>827000.36587999796</c:v>
                </c:pt>
                <c:pt idx="106">
                  <c:v>816374.729219998</c:v>
                </c:pt>
                <c:pt idx="107">
                  <c:v>854908.82013999799</c:v>
                </c:pt>
                <c:pt idx="108">
                  <c:v>848581.57287999801</c:v>
                </c:pt>
                <c:pt idx="109">
                  <c:v>811772.98093999806</c:v>
                </c:pt>
                <c:pt idx="110">
                  <c:v>828303.81731999794</c:v>
                </c:pt>
                <c:pt idx="111">
                  <c:v>829653.04709999799</c:v>
                </c:pt>
                <c:pt idx="112">
                  <c:v>800012.722079998</c:v>
                </c:pt>
                <c:pt idx="113">
                  <c:v>809855.30097999796</c:v>
                </c:pt>
                <c:pt idx="114">
                  <c:v>837969.48697999795</c:v>
                </c:pt>
                <c:pt idx="115">
                  <c:v>836453.47165999806</c:v>
                </c:pt>
                <c:pt idx="116">
                  <c:v>877590.401859998</c:v>
                </c:pt>
                <c:pt idx="117">
                  <c:v>908987.43375999795</c:v>
                </c:pt>
                <c:pt idx="118">
                  <c:v>910040.6101999979</c:v>
                </c:pt>
                <c:pt idx="119">
                  <c:v>883629.16395999806</c:v>
                </c:pt>
                <c:pt idx="120">
                  <c:v>860455.13865999808</c:v>
                </c:pt>
                <c:pt idx="121">
                  <c:v>883197.72467999789</c:v>
                </c:pt>
                <c:pt idx="122">
                  <c:v>926947.91331999807</c:v>
                </c:pt>
                <c:pt idx="123">
                  <c:v>955366.258099998</c:v>
                </c:pt>
                <c:pt idx="124">
                  <c:v>951276.37221999804</c:v>
                </c:pt>
                <c:pt idx="125">
                  <c:v>970615.2478399981</c:v>
                </c:pt>
                <c:pt idx="126">
                  <c:v>1030143.875679998</c:v>
                </c:pt>
                <c:pt idx="127">
                  <c:v>1059276.3194399981</c:v>
                </c:pt>
                <c:pt idx="128">
                  <c:v>1049952.450299998</c:v>
                </c:pt>
                <c:pt idx="129">
                  <c:v>1068161.3220599978</c:v>
                </c:pt>
                <c:pt idx="130">
                  <c:v>1129613.3022799981</c:v>
                </c:pt>
                <c:pt idx="131">
                  <c:v>1116954.9403999981</c:v>
                </c:pt>
                <c:pt idx="132">
                  <c:v>1110891.1726399981</c:v>
                </c:pt>
                <c:pt idx="133">
                  <c:v>1130107.0668399981</c:v>
                </c:pt>
                <c:pt idx="134">
                  <c:v>1096675.078659998</c:v>
                </c:pt>
                <c:pt idx="135">
                  <c:v>1123073.6941399979</c:v>
                </c:pt>
                <c:pt idx="136">
                  <c:v>1148430.8696799981</c:v>
                </c:pt>
                <c:pt idx="137">
                  <c:v>1182144.6394999982</c:v>
                </c:pt>
                <c:pt idx="138">
                  <c:v>1163151.559579998</c:v>
                </c:pt>
                <c:pt idx="139">
                  <c:v>1169883.125099998</c:v>
                </c:pt>
                <c:pt idx="140">
                  <c:v>1172367.230779998</c:v>
                </c:pt>
                <c:pt idx="141">
                  <c:v>1164856.7122999979</c:v>
                </c:pt>
                <c:pt idx="142">
                  <c:v>1211076.0867999981</c:v>
                </c:pt>
                <c:pt idx="143">
                  <c:v>1166320.9655399979</c:v>
                </c:pt>
                <c:pt idx="144">
                  <c:v>1197912.5126199978</c:v>
                </c:pt>
                <c:pt idx="145">
                  <c:v>1231450.9691199982</c:v>
                </c:pt>
                <c:pt idx="146">
                  <c:v>1216238.4937999998</c:v>
                </c:pt>
                <c:pt idx="147">
                  <c:v>1268212.7146000001</c:v>
                </c:pt>
                <c:pt idx="148">
                  <c:v>1250103.3031399981</c:v>
                </c:pt>
                <c:pt idx="149">
                  <c:v>1312779.81868</c:v>
                </c:pt>
                <c:pt idx="150">
                  <c:v>1323332.5023000001</c:v>
                </c:pt>
                <c:pt idx="151">
                  <c:v>1301315.8066199999</c:v>
                </c:pt>
                <c:pt idx="152">
                  <c:v>1313320.6998000001</c:v>
                </c:pt>
                <c:pt idx="153">
                  <c:v>1332273.80082</c:v>
                </c:pt>
                <c:pt idx="154">
                  <c:v>1342239.9067199999</c:v>
                </c:pt>
                <c:pt idx="155">
                  <c:v>1335568.95098</c:v>
                </c:pt>
                <c:pt idx="156">
                  <c:v>1296191.61362</c:v>
                </c:pt>
                <c:pt idx="157">
                  <c:v>1300014.2540599999</c:v>
                </c:pt>
                <c:pt idx="158">
                  <c:v>1263835.6978</c:v>
                </c:pt>
                <c:pt idx="159">
                  <c:v>1245181.1186599999</c:v>
                </c:pt>
                <c:pt idx="160">
                  <c:v>1264667.1247</c:v>
                </c:pt>
                <c:pt idx="161">
                  <c:v>1277145.3181799999</c:v>
                </c:pt>
                <c:pt idx="162">
                  <c:v>1319532.95126</c:v>
                </c:pt>
                <c:pt idx="163">
                  <c:v>1328673.6375199999</c:v>
                </c:pt>
                <c:pt idx="164">
                  <c:v>1306300.5374399999</c:v>
                </c:pt>
                <c:pt idx="165">
                  <c:v>1330343.22214</c:v>
                </c:pt>
                <c:pt idx="166">
                  <c:v>1306924.89234</c:v>
                </c:pt>
                <c:pt idx="167">
                  <c:v>1369715.6446199999</c:v>
                </c:pt>
                <c:pt idx="168">
                  <c:v>1339281.39102</c:v>
                </c:pt>
                <c:pt idx="169">
                  <c:v>1341725.97908</c:v>
                </c:pt>
                <c:pt idx="170">
                  <c:v>1386559.79296</c:v>
                </c:pt>
                <c:pt idx="171">
                  <c:v>1350690.6832000001</c:v>
                </c:pt>
                <c:pt idx="172">
                  <c:v>1349529.1229399999</c:v>
                </c:pt>
                <c:pt idx="173">
                  <c:v>1343056.4694000001</c:v>
                </c:pt>
                <c:pt idx="174">
                  <c:v>1320123.45716</c:v>
                </c:pt>
                <c:pt idx="175">
                  <c:v>1393325.6355599998</c:v>
                </c:pt>
                <c:pt idx="176">
                  <c:v>1374760.3180199999</c:v>
                </c:pt>
                <c:pt idx="177">
                  <c:v>1440583.8251</c:v>
                </c:pt>
                <c:pt idx="178">
                  <c:v>1441067.8738199999</c:v>
                </c:pt>
                <c:pt idx="179">
                  <c:v>1402049.23364</c:v>
                </c:pt>
                <c:pt idx="180">
                  <c:v>1405258.57672</c:v>
                </c:pt>
                <c:pt idx="181">
                  <c:v>1377933.3414999999</c:v>
                </c:pt>
                <c:pt idx="182">
                  <c:v>1347960.65228</c:v>
                </c:pt>
                <c:pt idx="183">
                  <c:v>1367688.5894200001</c:v>
                </c:pt>
                <c:pt idx="184">
                  <c:v>1392760.6655999999</c:v>
                </c:pt>
                <c:pt idx="185">
                  <c:v>1358555.94924</c:v>
                </c:pt>
                <c:pt idx="186">
                  <c:v>1347076.9948400001</c:v>
                </c:pt>
                <c:pt idx="187">
                  <c:v>1341942.74814</c:v>
                </c:pt>
                <c:pt idx="188">
                  <c:v>1350189.34384</c:v>
                </c:pt>
                <c:pt idx="189">
                  <c:v>1307911.0922599998</c:v>
                </c:pt>
                <c:pt idx="190">
                  <c:v>1316630.3040200002</c:v>
                </c:pt>
                <c:pt idx="191">
                  <c:v>1310999.5954199999</c:v>
                </c:pt>
                <c:pt idx="192">
                  <c:v>1338507.1556199999</c:v>
                </c:pt>
                <c:pt idx="193">
                  <c:v>1320155.6198999998</c:v>
                </c:pt>
                <c:pt idx="194">
                  <c:v>1339049.9795600001</c:v>
                </c:pt>
                <c:pt idx="195">
                  <c:v>1305114.0105599998</c:v>
                </c:pt>
                <c:pt idx="196">
                  <c:v>1326246.0197399999</c:v>
                </c:pt>
                <c:pt idx="197">
                  <c:v>1375809.88426</c:v>
                </c:pt>
                <c:pt idx="198">
                  <c:v>1313295.05244</c:v>
                </c:pt>
                <c:pt idx="199">
                  <c:v>1306567.93704</c:v>
                </c:pt>
                <c:pt idx="200">
                  <c:v>1258712.47426</c:v>
                </c:pt>
                <c:pt idx="201">
                  <c:v>1330087.7045</c:v>
                </c:pt>
                <c:pt idx="202">
                  <c:v>1382449.2760399999</c:v>
                </c:pt>
                <c:pt idx="203">
                  <c:v>1379842.5144</c:v>
                </c:pt>
                <c:pt idx="204">
                  <c:v>1396944.4550399999</c:v>
                </c:pt>
                <c:pt idx="205">
                  <c:v>1436893.9760199999</c:v>
                </c:pt>
                <c:pt idx="206">
                  <c:v>1460832.42136</c:v>
                </c:pt>
                <c:pt idx="207">
                  <c:v>1457445.62634</c:v>
                </c:pt>
                <c:pt idx="208">
                  <c:v>1466898.5929400001</c:v>
                </c:pt>
                <c:pt idx="209">
                  <c:v>1432589.7749399999</c:v>
                </c:pt>
                <c:pt idx="210">
                  <c:v>1407243.9117399999</c:v>
                </c:pt>
                <c:pt idx="211">
                  <c:v>1399377.20258</c:v>
                </c:pt>
                <c:pt idx="212">
                  <c:v>1450365.2078199999</c:v>
                </c:pt>
                <c:pt idx="213">
                  <c:v>1376111.98746</c:v>
                </c:pt>
                <c:pt idx="214">
                  <c:v>1340833.7577800001</c:v>
                </c:pt>
                <c:pt idx="215">
                  <c:v>1343177.8479800001</c:v>
                </c:pt>
                <c:pt idx="216">
                  <c:v>1404912.7236800001</c:v>
                </c:pt>
                <c:pt idx="217">
                  <c:v>1480531.1594799999</c:v>
                </c:pt>
                <c:pt idx="218">
                  <c:v>1498308.8864800001</c:v>
                </c:pt>
                <c:pt idx="219">
                  <c:v>1536767.86962</c:v>
                </c:pt>
                <c:pt idx="220">
                  <c:v>1526349.7113399999</c:v>
                </c:pt>
                <c:pt idx="221">
                  <c:v>1534947.5714799999</c:v>
                </c:pt>
                <c:pt idx="222">
                  <c:v>1544402.80168</c:v>
                </c:pt>
                <c:pt idx="223">
                  <c:v>1522613.3414</c:v>
                </c:pt>
                <c:pt idx="224">
                  <c:v>1513718.1842399999</c:v>
                </c:pt>
                <c:pt idx="225">
                  <c:v>1497200.48752</c:v>
                </c:pt>
                <c:pt idx="226">
                  <c:v>1543360.1163000001</c:v>
                </c:pt>
                <c:pt idx="227">
                  <c:v>1522266.7220600001</c:v>
                </c:pt>
                <c:pt idx="228">
                  <c:v>1520362.2379600001</c:v>
                </c:pt>
                <c:pt idx="229">
                  <c:v>1517615.03492</c:v>
                </c:pt>
                <c:pt idx="230">
                  <c:v>1550896.89904</c:v>
                </c:pt>
                <c:pt idx="231">
                  <c:v>1529106.5227000001</c:v>
                </c:pt>
                <c:pt idx="232">
                  <c:v>1537142.2272399999</c:v>
                </c:pt>
                <c:pt idx="233">
                  <c:v>1553626.87014</c:v>
                </c:pt>
                <c:pt idx="234">
                  <c:v>1486402.1682600002</c:v>
                </c:pt>
                <c:pt idx="235">
                  <c:v>1492541.0216399999</c:v>
                </c:pt>
                <c:pt idx="236">
                  <c:v>1519183.1841</c:v>
                </c:pt>
                <c:pt idx="237">
                  <c:v>1500926.43946</c:v>
                </c:pt>
                <c:pt idx="238">
                  <c:v>1488810.33018</c:v>
                </c:pt>
                <c:pt idx="239">
                  <c:v>1505467.0112400001</c:v>
                </c:pt>
                <c:pt idx="240">
                  <c:v>1498453.8327600001</c:v>
                </c:pt>
                <c:pt idx="241">
                  <c:v>1491092.31886</c:v>
                </c:pt>
                <c:pt idx="242">
                  <c:v>1485296.6669399999</c:v>
                </c:pt>
                <c:pt idx="243">
                  <c:v>1495715.05106</c:v>
                </c:pt>
                <c:pt idx="244">
                  <c:v>1503367.70976</c:v>
                </c:pt>
                <c:pt idx="245">
                  <c:v>1510820.5118799999</c:v>
                </c:pt>
                <c:pt idx="246">
                  <c:v>1523754.0475600001</c:v>
                </c:pt>
                <c:pt idx="247">
                  <c:v>1548318.12262</c:v>
                </c:pt>
                <c:pt idx="248">
                  <c:v>1617154.49514</c:v>
                </c:pt>
                <c:pt idx="249">
                  <c:v>1610022.0830999999</c:v>
                </c:pt>
                <c:pt idx="250">
                  <c:v>1591724.1294800001</c:v>
                </c:pt>
                <c:pt idx="251">
                  <c:v>1562242.8049399999</c:v>
                </c:pt>
                <c:pt idx="252">
                  <c:v>1531395.77244</c:v>
                </c:pt>
                <c:pt idx="253">
                  <c:v>1503914.3995999999</c:v>
                </c:pt>
                <c:pt idx="254">
                  <c:v>1485757.8211600001</c:v>
                </c:pt>
                <c:pt idx="255">
                  <c:v>1484124.5163199999</c:v>
                </c:pt>
                <c:pt idx="256">
                  <c:v>1495248.20542</c:v>
                </c:pt>
                <c:pt idx="257">
                  <c:v>1478366.0277799999</c:v>
                </c:pt>
                <c:pt idx="258">
                  <c:v>1485864.8888599998</c:v>
                </c:pt>
                <c:pt idx="259">
                  <c:v>1468445.0035399999</c:v>
                </c:pt>
                <c:pt idx="260">
                  <c:v>1514832.82378</c:v>
                </c:pt>
                <c:pt idx="261">
                  <c:v>1501502.5711600001</c:v>
                </c:pt>
                <c:pt idx="262">
                  <c:v>1519575.11176</c:v>
                </c:pt>
                <c:pt idx="263">
                  <c:v>1484948.28406</c:v>
                </c:pt>
                <c:pt idx="264">
                  <c:v>1546274.7912599999</c:v>
                </c:pt>
                <c:pt idx="265">
                  <c:v>1573649.1089400002</c:v>
                </c:pt>
                <c:pt idx="266">
                  <c:v>1529564.9778799999</c:v>
                </c:pt>
                <c:pt idx="267">
                  <c:v>1554727.6401</c:v>
                </c:pt>
                <c:pt idx="268">
                  <c:v>1546576.33198</c:v>
                </c:pt>
                <c:pt idx="269">
                  <c:v>1555694.0482999999</c:v>
                </c:pt>
                <c:pt idx="270">
                  <c:v>1550873.24578</c:v>
                </c:pt>
                <c:pt idx="271">
                  <c:v>1546934.57672</c:v>
                </c:pt>
                <c:pt idx="272">
                  <c:v>1547427.9289000002</c:v>
                </c:pt>
                <c:pt idx="273">
                  <c:v>1547626.8886800001</c:v>
                </c:pt>
                <c:pt idx="274">
                  <c:v>1589271.19444</c:v>
                </c:pt>
                <c:pt idx="275">
                  <c:v>1606289.2471</c:v>
                </c:pt>
                <c:pt idx="276">
                  <c:v>1625107.53152</c:v>
                </c:pt>
                <c:pt idx="277">
                  <c:v>1652634.5869400001</c:v>
                </c:pt>
                <c:pt idx="278">
                  <c:v>1624599.9406999999</c:v>
                </c:pt>
                <c:pt idx="279">
                  <c:v>1628240.0865199999</c:v>
                </c:pt>
                <c:pt idx="280">
                  <c:v>1618351.8006599999</c:v>
                </c:pt>
                <c:pt idx="281">
                  <c:v>1591974.459</c:v>
                </c:pt>
                <c:pt idx="282">
                  <c:v>1637706.0532</c:v>
                </c:pt>
                <c:pt idx="283">
                  <c:v>1607505.5550200001</c:v>
                </c:pt>
                <c:pt idx="284">
                  <c:v>1633238.6595000001</c:v>
                </c:pt>
                <c:pt idx="285">
                  <c:v>1641197.9376000001</c:v>
                </c:pt>
                <c:pt idx="286">
                  <c:v>1645902.8414999999</c:v>
                </c:pt>
                <c:pt idx="287">
                  <c:v>1598338.1095400001</c:v>
                </c:pt>
                <c:pt idx="288">
                  <c:v>1539373.44866</c:v>
                </c:pt>
                <c:pt idx="289">
                  <c:v>1517353.9688599999</c:v>
                </c:pt>
                <c:pt idx="290">
                  <c:v>1538235.9219</c:v>
                </c:pt>
                <c:pt idx="291">
                  <c:v>1523732.8607000001</c:v>
                </c:pt>
                <c:pt idx="292">
                  <c:v>1537230.21046</c:v>
                </c:pt>
                <c:pt idx="293">
                  <c:v>1562828.5481400001</c:v>
                </c:pt>
                <c:pt idx="294">
                  <c:v>1569768.0863999999</c:v>
                </c:pt>
                <c:pt idx="295">
                  <c:v>1595296.65506</c:v>
                </c:pt>
                <c:pt idx="296">
                  <c:v>1633338.9406600001</c:v>
                </c:pt>
                <c:pt idx="297">
                  <c:v>1647301.20924</c:v>
                </c:pt>
                <c:pt idx="298">
                  <c:v>1604297.86696</c:v>
                </c:pt>
                <c:pt idx="299">
                  <c:v>1621406.81592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E-4443-A88A-6598239DE9ED}"/>
            </c:ext>
          </c:extLst>
        </c:ser>
        <c:ser>
          <c:idx val="1"/>
          <c:order val="1"/>
          <c:tx>
            <c:strRef>
              <c:f>创业板!$Q$1</c:f>
              <c:strCache>
                <c:ptCount val="1"/>
                <c:pt idx="0">
                  <c:v>LTR-DQN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创业板!$Q$2:$Q$301</c:f>
              <c:numCache>
                <c:formatCode>General</c:formatCode>
                <c:ptCount val="300"/>
                <c:pt idx="0">
                  <c:v>1000000</c:v>
                </c:pt>
                <c:pt idx="1">
                  <c:v>1002213.7053487593</c:v>
                </c:pt>
                <c:pt idx="2">
                  <c:v>957836.80021274276</c:v>
                </c:pt>
                <c:pt idx="3">
                  <c:v>985864.38215486077</c:v>
                </c:pt>
                <c:pt idx="4">
                  <c:v>988222.38448560506</c:v>
                </c:pt>
                <c:pt idx="5">
                  <c:v>983396.15320673282</c:v>
                </c:pt>
                <c:pt idx="6">
                  <c:v>1002493.2219519559</c:v>
                </c:pt>
                <c:pt idx="7">
                  <c:v>1005710.998361123</c:v>
                </c:pt>
                <c:pt idx="8">
                  <c:v>988365.62848483643</c:v>
                </c:pt>
                <c:pt idx="9">
                  <c:v>1041075.1578221662</c:v>
                </c:pt>
                <c:pt idx="10">
                  <c:v>1041075.1578221662</c:v>
                </c:pt>
                <c:pt idx="11">
                  <c:v>1041075.1578221662</c:v>
                </c:pt>
                <c:pt idx="12">
                  <c:v>1018740.2044732622</c:v>
                </c:pt>
                <c:pt idx="13">
                  <c:v>1020132.3606687877</c:v>
                </c:pt>
                <c:pt idx="14">
                  <c:v>1033302.3710262094</c:v>
                </c:pt>
                <c:pt idx="15">
                  <c:v>1042448.9036961778</c:v>
                </c:pt>
                <c:pt idx="16">
                  <c:v>1046970.4964911053</c:v>
                </c:pt>
                <c:pt idx="17">
                  <c:v>1077007.652806876</c:v>
                </c:pt>
                <c:pt idx="18">
                  <c:v>1045564.5367687871</c:v>
                </c:pt>
                <c:pt idx="19">
                  <c:v>1013457.4727022048</c:v>
                </c:pt>
                <c:pt idx="20">
                  <c:v>993654.98400735215</c:v>
                </c:pt>
                <c:pt idx="21">
                  <c:v>993654.98400735215</c:v>
                </c:pt>
                <c:pt idx="22">
                  <c:v>985637.59076909279</c:v>
                </c:pt>
                <c:pt idx="23">
                  <c:v>1025180.1622861361</c:v>
                </c:pt>
                <c:pt idx="24">
                  <c:v>982702.62454805907</c:v>
                </c:pt>
                <c:pt idx="25">
                  <c:v>999296.14096652647</c:v>
                </c:pt>
                <c:pt idx="26">
                  <c:v>1001055.2619797895</c:v>
                </c:pt>
                <c:pt idx="27">
                  <c:v>1035353.9725706</c:v>
                </c:pt>
                <c:pt idx="28">
                  <c:v>1049282.8382761397</c:v>
                </c:pt>
                <c:pt idx="29">
                  <c:v>1024922.8229666783</c:v>
                </c:pt>
                <c:pt idx="30">
                  <c:v>1001645.6440856118</c:v>
                </c:pt>
                <c:pt idx="31">
                  <c:v>958667.84589901404</c:v>
                </c:pt>
                <c:pt idx="32">
                  <c:v>958667.84589901404</c:v>
                </c:pt>
                <c:pt idx="33">
                  <c:v>958667.84589901404</c:v>
                </c:pt>
                <c:pt idx="34">
                  <c:v>932899.5829396802</c:v>
                </c:pt>
                <c:pt idx="35">
                  <c:v>924033.58110861841</c:v>
                </c:pt>
                <c:pt idx="36">
                  <c:v>916463.83449298865</c:v>
                </c:pt>
                <c:pt idx="37">
                  <c:v>915639.79488384398</c:v>
                </c:pt>
                <c:pt idx="38">
                  <c:v>940728.9634975784</c:v>
                </c:pt>
                <c:pt idx="39">
                  <c:v>926957.59408726811</c:v>
                </c:pt>
                <c:pt idx="40">
                  <c:v>926957.59408726811</c:v>
                </c:pt>
                <c:pt idx="41">
                  <c:v>912786.99410071573</c:v>
                </c:pt>
                <c:pt idx="42">
                  <c:v>892093.09675852535</c:v>
                </c:pt>
                <c:pt idx="43">
                  <c:v>892093.09675852535</c:v>
                </c:pt>
                <c:pt idx="44">
                  <c:v>892093.09675852535</c:v>
                </c:pt>
                <c:pt idx="45">
                  <c:v>892093.09675852535</c:v>
                </c:pt>
                <c:pt idx="46">
                  <c:v>946349.06969738612</c:v>
                </c:pt>
                <c:pt idx="47">
                  <c:v>957191.54545997875</c:v>
                </c:pt>
                <c:pt idx="48">
                  <c:v>957191.54545997875</c:v>
                </c:pt>
                <c:pt idx="49">
                  <c:v>957191.54545997875</c:v>
                </c:pt>
                <c:pt idx="50">
                  <c:v>957191.54545997875</c:v>
                </c:pt>
                <c:pt idx="51">
                  <c:v>1002173.3209312521</c:v>
                </c:pt>
                <c:pt idx="52">
                  <c:v>1013676.2654080064</c:v>
                </c:pt>
                <c:pt idx="53">
                  <c:v>1000528.9118698473</c:v>
                </c:pt>
                <c:pt idx="54">
                  <c:v>998627.10561532679</c:v>
                </c:pt>
                <c:pt idx="55">
                  <c:v>982959.04592329881</c:v>
                </c:pt>
                <c:pt idx="56">
                  <c:v>982959.04592329881</c:v>
                </c:pt>
                <c:pt idx="57">
                  <c:v>982959.04592329881</c:v>
                </c:pt>
                <c:pt idx="58">
                  <c:v>935381.37526730471</c:v>
                </c:pt>
                <c:pt idx="59">
                  <c:v>890817.52711679146</c:v>
                </c:pt>
                <c:pt idx="60">
                  <c:v>929626.66451247188</c:v>
                </c:pt>
                <c:pt idx="61">
                  <c:v>969410.07014880225</c:v>
                </c:pt>
                <c:pt idx="62">
                  <c:v>969410.07014880225</c:v>
                </c:pt>
                <c:pt idx="63">
                  <c:v>969410.07014880225</c:v>
                </c:pt>
                <c:pt idx="64">
                  <c:v>975768.15224347671</c:v>
                </c:pt>
                <c:pt idx="65">
                  <c:v>1010015.9752389669</c:v>
                </c:pt>
                <c:pt idx="66">
                  <c:v>1005653.3714231872</c:v>
                </c:pt>
                <c:pt idx="67">
                  <c:v>1048256.0173157569</c:v>
                </c:pt>
                <c:pt idx="68">
                  <c:v>1044686.7365174914</c:v>
                </c:pt>
                <c:pt idx="69">
                  <c:v>1044686.7365174914</c:v>
                </c:pt>
                <c:pt idx="70">
                  <c:v>1084336.6176140697</c:v>
                </c:pt>
                <c:pt idx="71">
                  <c:v>1120571.7590541099</c:v>
                </c:pt>
                <c:pt idx="72">
                  <c:v>1099521.3002079315</c:v>
                </c:pt>
                <c:pt idx="73">
                  <c:v>1109714.8996782335</c:v>
                </c:pt>
                <c:pt idx="74">
                  <c:v>1108507.7022110969</c:v>
                </c:pt>
                <c:pt idx="75">
                  <c:v>1108507.7022110969</c:v>
                </c:pt>
                <c:pt idx="76">
                  <c:v>1108507.7022110969</c:v>
                </c:pt>
                <c:pt idx="77">
                  <c:v>1257278.6608078228</c:v>
                </c:pt>
                <c:pt idx="78">
                  <c:v>1248583.8858569376</c:v>
                </c:pt>
                <c:pt idx="79">
                  <c:v>1213902.4891246427</c:v>
                </c:pt>
                <c:pt idx="80">
                  <c:v>1144969.7040212126</c:v>
                </c:pt>
                <c:pt idx="81">
                  <c:v>1111393.3029535469</c:v>
                </c:pt>
                <c:pt idx="82">
                  <c:v>1117153.0950799359</c:v>
                </c:pt>
                <c:pt idx="83">
                  <c:v>1054976.0850801878</c:v>
                </c:pt>
                <c:pt idx="84">
                  <c:v>1045053.2535483489</c:v>
                </c:pt>
                <c:pt idx="85">
                  <c:v>1013328.0890737941</c:v>
                </c:pt>
                <c:pt idx="86">
                  <c:v>1038032.6934251182</c:v>
                </c:pt>
                <c:pt idx="87">
                  <c:v>1010249.4988895438</c:v>
                </c:pt>
                <c:pt idx="88">
                  <c:v>1016602.84881226</c:v>
                </c:pt>
                <c:pt idx="89">
                  <c:v>987912.23061652936</c:v>
                </c:pt>
                <c:pt idx="90">
                  <c:v>965791.67517189553</c:v>
                </c:pt>
                <c:pt idx="91">
                  <c:v>965791.67517189553</c:v>
                </c:pt>
                <c:pt idx="92">
                  <c:v>946805.04241803521</c:v>
                </c:pt>
                <c:pt idx="93">
                  <c:v>990936.88082134479</c:v>
                </c:pt>
                <c:pt idx="94">
                  <c:v>976479.21235184011</c:v>
                </c:pt>
                <c:pt idx="95">
                  <c:v>1013444.6654266121</c:v>
                </c:pt>
                <c:pt idx="96">
                  <c:v>1016141.7740917157</c:v>
                </c:pt>
                <c:pt idx="97">
                  <c:v>1048654.1476278009</c:v>
                </c:pt>
                <c:pt idx="98">
                  <c:v>1059049.7294465629</c:v>
                </c:pt>
                <c:pt idx="99">
                  <c:v>1104215.5042293123</c:v>
                </c:pt>
                <c:pt idx="100">
                  <c:v>1118511.2486253856</c:v>
                </c:pt>
                <c:pt idx="101">
                  <c:v>1127321.5569057097</c:v>
                </c:pt>
                <c:pt idx="102">
                  <c:v>1118088.0997973063</c:v>
                </c:pt>
                <c:pt idx="103">
                  <c:v>1094894.039407186</c:v>
                </c:pt>
                <c:pt idx="104">
                  <c:v>1124412.1990414232</c:v>
                </c:pt>
                <c:pt idx="105">
                  <c:v>1140262.0763151392</c:v>
                </c:pt>
                <c:pt idx="106">
                  <c:v>1125607.9863308817</c:v>
                </c:pt>
                <c:pt idx="107">
                  <c:v>1178752.3885219391</c:v>
                </c:pt>
                <c:pt idx="108">
                  <c:v>1169571.2761635075</c:v>
                </c:pt>
                <c:pt idx="109">
                  <c:v>1169571.2761635075</c:v>
                </c:pt>
                <c:pt idx="110">
                  <c:v>1177590.3018067961</c:v>
                </c:pt>
                <c:pt idx="111">
                  <c:v>1179519.6202252163</c:v>
                </c:pt>
                <c:pt idx="112">
                  <c:v>1137299.3154384324</c:v>
                </c:pt>
                <c:pt idx="113">
                  <c:v>1151303.5938202695</c:v>
                </c:pt>
                <c:pt idx="114">
                  <c:v>1151303.5938202695</c:v>
                </c:pt>
                <c:pt idx="115">
                  <c:v>1121224.8102645255</c:v>
                </c:pt>
                <c:pt idx="116">
                  <c:v>1178121.8414854661</c:v>
                </c:pt>
                <c:pt idx="117">
                  <c:v>1233958.1032495631</c:v>
                </c:pt>
                <c:pt idx="118">
                  <c:v>1233958.1032495631</c:v>
                </c:pt>
                <c:pt idx="119">
                  <c:v>1233958.1032495631</c:v>
                </c:pt>
                <c:pt idx="120">
                  <c:v>1201532.995130393</c:v>
                </c:pt>
                <c:pt idx="121">
                  <c:v>1242967.1077868359</c:v>
                </c:pt>
                <c:pt idx="122">
                  <c:v>1306645.6459903689</c:v>
                </c:pt>
                <c:pt idx="123">
                  <c:v>1306645.6459903689</c:v>
                </c:pt>
                <c:pt idx="124">
                  <c:v>1253161.3596439462</c:v>
                </c:pt>
                <c:pt idx="125">
                  <c:v>1278699.5278252563</c:v>
                </c:pt>
                <c:pt idx="126">
                  <c:v>1357327.3440180961</c:v>
                </c:pt>
                <c:pt idx="127">
                  <c:v>1387106.4368655097</c:v>
                </c:pt>
                <c:pt idx="128">
                  <c:v>1387106.4368655097</c:v>
                </c:pt>
                <c:pt idx="129">
                  <c:v>1387106.4368655097</c:v>
                </c:pt>
                <c:pt idx="130">
                  <c:v>1467268.0061110319</c:v>
                </c:pt>
                <c:pt idx="131">
                  <c:v>1468359.1763114058</c:v>
                </c:pt>
                <c:pt idx="132">
                  <c:v>1441316.7342628802</c:v>
                </c:pt>
                <c:pt idx="133">
                  <c:v>1433458.9838483762</c:v>
                </c:pt>
                <c:pt idx="134">
                  <c:v>1433458.9838483762</c:v>
                </c:pt>
                <c:pt idx="135">
                  <c:v>1484857.6222736016</c:v>
                </c:pt>
                <c:pt idx="136">
                  <c:v>1518536.8499489762</c:v>
                </c:pt>
                <c:pt idx="137">
                  <c:v>1563293.384745802</c:v>
                </c:pt>
                <c:pt idx="138">
                  <c:v>1528873.7365150566</c:v>
                </c:pt>
                <c:pt idx="139">
                  <c:v>1528873.7365150566</c:v>
                </c:pt>
                <c:pt idx="140">
                  <c:v>1534833.2633215005</c:v>
                </c:pt>
                <c:pt idx="141">
                  <c:v>1621987.0824870744</c:v>
                </c:pt>
                <c:pt idx="142">
                  <c:v>1665357.1067162687</c:v>
                </c:pt>
                <c:pt idx="143">
                  <c:v>1598374.5764579051</c:v>
                </c:pt>
                <c:pt idx="144">
                  <c:v>1640433.3122165331</c:v>
                </c:pt>
                <c:pt idx="145">
                  <c:v>1640433.3122165331</c:v>
                </c:pt>
                <c:pt idx="146">
                  <c:v>1640433.3122165331</c:v>
                </c:pt>
                <c:pt idx="147">
                  <c:v>1709096.9942877253</c:v>
                </c:pt>
                <c:pt idx="148">
                  <c:v>1684585.785199536</c:v>
                </c:pt>
                <c:pt idx="149">
                  <c:v>1769155.3475668584</c:v>
                </c:pt>
                <c:pt idx="150">
                  <c:v>1841153.5273190215</c:v>
                </c:pt>
                <c:pt idx="151">
                  <c:v>1806584.05750589</c:v>
                </c:pt>
                <c:pt idx="152">
                  <c:v>1926324.9617418649</c:v>
                </c:pt>
                <c:pt idx="153">
                  <c:v>1954189.8934108384</c:v>
                </c:pt>
                <c:pt idx="154">
                  <c:v>1954189.8934108384</c:v>
                </c:pt>
                <c:pt idx="155">
                  <c:v>1954189.8934108384</c:v>
                </c:pt>
                <c:pt idx="156">
                  <c:v>1911650.7502633324</c:v>
                </c:pt>
                <c:pt idx="157">
                  <c:v>1929657.8783009576</c:v>
                </c:pt>
                <c:pt idx="158">
                  <c:v>1875722.7499741463</c:v>
                </c:pt>
                <c:pt idx="159">
                  <c:v>1847928.5770003991</c:v>
                </c:pt>
                <c:pt idx="160">
                  <c:v>1907230.4493182802</c:v>
                </c:pt>
                <c:pt idx="161">
                  <c:v>1904880.5493867691</c:v>
                </c:pt>
                <c:pt idx="162">
                  <c:v>1916621.2234577606</c:v>
                </c:pt>
                <c:pt idx="163">
                  <c:v>1898995.9461268978</c:v>
                </c:pt>
                <c:pt idx="164">
                  <c:v>1866988.0917603893</c:v>
                </c:pt>
                <c:pt idx="165">
                  <c:v>1920448.4083386722</c:v>
                </c:pt>
                <c:pt idx="166">
                  <c:v>1893993.4209042045</c:v>
                </c:pt>
                <c:pt idx="167">
                  <c:v>1929964.3394703625</c:v>
                </c:pt>
                <c:pt idx="168">
                  <c:v>1916977.1200907247</c:v>
                </c:pt>
                <c:pt idx="169">
                  <c:v>1982592.0976506141</c:v>
                </c:pt>
                <c:pt idx="170">
                  <c:v>2083932.5247821603</c:v>
                </c:pt>
                <c:pt idx="171">
                  <c:v>2083932.5247821603</c:v>
                </c:pt>
                <c:pt idx="172">
                  <c:v>2063967.5167587935</c:v>
                </c:pt>
                <c:pt idx="173">
                  <c:v>2053536.596211069</c:v>
                </c:pt>
                <c:pt idx="174">
                  <c:v>2000341.9308055867</c:v>
                </c:pt>
                <c:pt idx="175">
                  <c:v>2126263.0625185827</c:v>
                </c:pt>
                <c:pt idx="176">
                  <c:v>2088854.8489874066</c:v>
                </c:pt>
                <c:pt idx="177">
                  <c:v>2033100.7469661438</c:v>
                </c:pt>
                <c:pt idx="178">
                  <c:v>2033792.4019195272</c:v>
                </c:pt>
                <c:pt idx="179">
                  <c:v>1978629.3199837857</c:v>
                </c:pt>
                <c:pt idx="180">
                  <c:v>1956653.9094948622</c:v>
                </c:pt>
                <c:pt idx="181">
                  <c:v>1925984.3404892543</c:v>
                </c:pt>
                <c:pt idx="182">
                  <c:v>1878924.8399197888</c:v>
                </c:pt>
                <c:pt idx="183">
                  <c:v>1913140.128620289</c:v>
                </c:pt>
                <c:pt idx="184">
                  <c:v>1968857.7140874462</c:v>
                </c:pt>
                <c:pt idx="185">
                  <c:v>1927292.9195523837</c:v>
                </c:pt>
                <c:pt idx="186">
                  <c:v>1910209.8340196947</c:v>
                </c:pt>
                <c:pt idx="187">
                  <c:v>1902887.9680915722</c:v>
                </c:pt>
                <c:pt idx="188">
                  <c:v>1876544.2645763338</c:v>
                </c:pt>
                <c:pt idx="189">
                  <c:v>1838327.8571628793</c:v>
                </c:pt>
                <c:pt idx="190">
                  <c:v>1882848.9974364098</c:v>
                </c:pt>
                <c:pt idx="191">
                  <c:v>1802232.6898082669</c:v>
                </c:pt>
                <c:pt idx="192">
                  <c:v>1778599.19625418</c:v>
                </c:pt>
                <c:pt idx="193">
                  <c:v>1754136.2424634809</c:v>
                </c:pt>
                <c:pt idx="194">
                  <c:v>1785691.4090662312</c:v>
                </c:pt>
                <c:pt idx="195">
                  <c:v>1718389.2239758787</c:v>
                </c:pt>
                <c:pt idx="196">
                  <c:v>1722324.1899187164</c:v>
                </c:pt>
                <c:pt idx="197">
                  <c:v>1746889.988094067</c:v>
                </c:pt>
                <c:pt idx="198">
                  <c:v>1636373.2165121573</c:v>
                </c:pt>
                <c:pt idx="199">
                  <c:v>1627965.695200878</c:v>
                </c:pt>
                <c:pt idx="200">
                  <c:v>1627965.695200878</c:v>
                </c:pt>
                <c:pt idx="201">
                  <c:v>1583977.2374939432</c:v>
                </c:pt>
                <c:pt idx="202">
                  <c:v>1673199.5395809237</c:v>
                </c:pt>
                <c:pt idx="203">
                  <c:v>1722445.4481248066</c:v>
                </c:pt>
                <c:pt idx="204">
                  <c:v>1719190.8809529068</c:v>
                </c:pt>
                <c:pt idx="205">
                  <c:v>1729604.0510581443</c:v>
                </c:pt>
                <c:pt idx="206">
                  <c:v>1740683.1957372616</c:v>
                </c:pt>
                <c:pt idx="207">
                  <c:v>1796260.8596135147</c:v>
                </c:pt>
                <c:pt idx="208">
                  <c:v>1799279.6227016749</c:v>
                </c:pt>
                <c:pt idx="209">
                  <c:v>1779484.6662265642</c:v>
                </c:pt>
                <c:pt idx="210">
                  <c:v>1744206.3419944125</c:v>
                </c:pt>
                <c:pt idx="211">
                  <c:v>1722280.8150718657</c:v>
                </c:pt>
                <c:pt idx="212">
                  <c:v>1674385.9951144983</c:v>
                </c:pt>
                <c:pt idx="213">
                  <c:v>1712794.9590813862</c:v>
                </c:pt>
                <c:pt idx="214">
                  <c:v>1624861.9631094849</c:v>
                </c:pt>
                <c:pt idx="215">
                  <c:v>1624861.9631094849</c:v>
                </c:pt>
                <c:pt idx="216">
                  <c:v>1630075.5658784525</c:v>
                </c:pt>
                <c:pt idx="217">
                  <c:v>1666167.9375717114</c:v>
                </c:pt>
                <c:pt idx="218">
                  <c:v>1741559.8030266808</c:v>
                </c:pt>
                <c:pt idx="219">
                  <c:v>1763153.4521646842</c:v>
                </c:pt>
                <c:pt idx="220">
                  <c:v>1796596.9734397186</c:v>
                </c:pt>
                <c:pt idx="221">
                  <c:v>1796596.9734397186</c:v>
                </c:pt>
                <c:pt idx="222">
                  <c:v>1806747.0037619651</c:v>
                </c:pt>
                <c:pt idx="223">
                  <c:v>1778533.2542178503</c:v>
                </c:pt>
                <c:pt idx="224">
                  <c:v>1753686.8079265542</c:v>
                </c:pt>
                <c:pt idx="225">
                  <c:v>1665550.5750851301</c:v>
                </c:pt>
                <c:pt idx="226">
                  <c:v>1637065.6721619242</c:v>
                </c:pt>
                <c:pt idx="227">
                  <c:v>1687638.1399202514</c:v>
                </c:pt>
                <c:pt idx="228">
                  <c:v>1664502.9427012333</c:v>
                </c:pt>
                <c:pt idx="229">
                  <c:v>1662411.1275854229</c:v>
                </c:pt>
                <c:pt idx="230">
                  <c:v>1662411.1275854229</c:v>
                </c:pt>
                <c:pt idx="231">
                  <c:v>1647902.6626009396</c:v>
                </c:pt>
                <c:pt idx="232">
                  <c:v>1636402.9541077153</c:v>
                </c:pt>
                <c:pt idx="233">
                  <c:v>1701060.0530545521</c:v>
                </c:pt>
                <c:pt idx="234">
                  <c:v>1719309.8663845877</c:v>
                </c:pt>
                <c:pt idx="235">
                  <c:v>1644841.4845180095</c:v>
                </c:pt>
                <c:pt idx="236">
                  <c:v>1723233.9774587231</c:v>
                </c:pt>
                <c:pt idx="237">
                  <c:v>1773068.2756569558</c:v>
                </c:pt>
                <c:pt idx="238">
                  <c:v>1731412.8306503911</c:v>
                </c:pt>
                <c:pt idx="239">
                  <c:v>1703086.3688661642</c:v>
                </c:pt>
                <c:pt idx="240">
                  <c:v>1697042.2337874207</c:v>
                </c:pt>
                <c:pt idx="241">
                  <c:v>1689046.9220839811</c:v>
                </c:pt>
                <c:pt idx="242">
                  <c:v>1667933.940984986</c:v>
                </c:pt>
                <c:pt idx="243">
                  <c:v>1657273.8589465504</c:v>
                </c:pt>
                <c:pt idx="244">
                  <c:v>1637601.1856753686</c:v>
                </c:pt>
                <c:pt idx="245">
                  <c:v>1672820.3323832864</c:v>
                </c:pt>
                <c:pt idx="246">
                  <c:v>1672820.3323832864</c:v>
                </c:pt>
                <c:pt idx="247">
                  <c:v>1687172.3952547717</c:v>
                </c:pt>
                <c:pt idx="248">
                  <c:v>1714391.2804149606</c:v>
                </c:pt>
                <c:pt idx="249">
                  <c:v>1812724.9774751291</c:v>
                </c:pt>
                <c:pt idx="250">
                  <c:v>1832174.7714613886</c:v>
                </c:pt>
                <c:pt idx="251">
                  <c:v>1863351.2652285453</c:v>
                </c:pt>
                <c:pt idx="252">
                  <c:v>1766087.9727744348</c:v>
                </c:pt>
                <c:pt idx="253">
                  <c:v>1766087.9727744348</c:v>
                </c:pt>
                <c:pt idx="254">
                  <c:v>1734379.6455391331</c:v>
                </c:pt>
                <c:pt idx="255">
                  <c:v>1713354.3356687326</c:v>
                </c:pt>
                <c:pt idx="256">
                  <c:v>1712885.8795997901</c:v>
                </c:pt>
                <c:pt idx="257">
                  <c:v>1719761.3187495533</c:v>
                </c:pt>
                <c:pt idx="258">
                  <c:v>1702650.9652833061</c:v>
                </c:pt>
                <c:pt idx="259">
                  <c:v>1711335.3356048022</c:v>
                </c:pt>
                <c:pt idx="260">
                  <c:v>1691235.5943534372</c:v>
                </c:pt>
                <c:pt idx="261">
                  <c:v>1744696.328686974</c:v>
                </c:pt>
                <c:pt idx="262">
                  <c:v>1730816.4873956151</c:v>
                </c:pt>
                <c:pt idx="263">
                  <c:v>1734413.6012164601</c:v>
                </c:pt>
                <c:pt idx="264">
                  <c:v>1667357.1885117665</c:v>
                </c:pt>
                <c:pt idx="265">
                  <c:v>1667357.1885117665</c:v>
                </c:pt>
                <c:pt idx="266">
                  <c:v>1667357.1885117665</c:v>
                </c:pt>
                <c:pt idx="267">
                  <c:v>1606891.7851758932</c:v>
                </c:pt>
                <c:pt idx="268">
                  <c:v>1633340.330523114</c:v>
                </c:pt>
                <c:pt idx="269">
                  <c:v>1624746.4907619057</c:v>
                </c:pt>
                <c:pt idx="270">
                  <c:v>1648469.7341676739</c:v>
                </c:pt>
                <c:pt idx="271">
                  <c:v>1666983.4244855905</c:v>
                </c:pt>
                <c:pt idx="272">
                  <c:v>1635174.9691510373</c:v>
                </c:pt>
                <c:pt idx="273">
                  <c:v>1635174.9691510373</c:v>
                </c:pt>
                <c:pt idx="274">
                  <c:v>1635362.5509366444</c:v>
                </c:pt>
                <c:pt idx="275">
                  <c:v>1646904.1208935026</c:v>
                </c:pt>
                <c:pt idx="276">
                  <c:v>1669908.6346824553</c:v>
                </c:pt>
                <c:pt idx="277">
                  <c:v>1724253.4319764625</c:v>
                </c:pt>
                <c:pt idx="278">
                  <c:v>1798175.3192097011</c:v>
                </c:pt>
                <c:pt idx="279">
                  <c:v>1763245.2727106188</c:v>
                </c:pt>
                <c:pt idx="280">
                  <c:v>1767211.1848185128</c:v>
                </c:pt>
                <c:pt idx="281">
                  <c:v>1756460.8158023264</c:v>
                </c:pt>
                <c:pt idx="282">
                  <c:v>1730316.5446944358</c:v>
                </c:pt>
                <c:pt idx="283">
                  <c:v>1764547.7627837802</c:v>
                </c:pt>
                <c:pt idx="284">
                  <c:v>1731980.6308678237</c:v>
                </c:pt>
                <c:pt idx="285">
                  <c:v>1776318.1335993728</c:v>
                </c:pt>
                <c:pt idx="286">
                  <c:v>1784988.2187556047</c:v>
                </c:pt>
                <c:pt idx="287">
                  <c:v>1790031.607750552</c:v>
                </c:pt>
                <c:pt idx="288">
                  <c:v>1790031.607750552</c:v>
                </c:pt>
                <c:pt idx="289">
                  <c:v>1790031.607750552</c:v>
                </c:pt>
                <c:pt idx="290">
                  <c:v>1750332.8308212918</c:v>
                </c:pt>
                <c:pt idx="291">
                  <c:v>1755570.3645860124</c:v>
                </c:pt>
                <c:pt idx="292">
                  <c:v>1739000.2239088698</c:v>
                </c:pt>
                <c:pt idx="293">
                  <c:v>1743868.6511334779</c:v>
                </c:pt>
                <c:pt idx="294">
                  <c:v>1772950.2906287881</c:v>
                </c:pt>
                <c:pt idx="295">
                  <c:v>1804618.0641908005</c:v>
                </c:pt>
                <c:pt idx="296">
                  <c:v>1804618.0641908005</c:v>
                </c:pt>
                <c:pt idx="297">
                  <c:v>1847711.1207961012</c:v>
                </c:pt>
                <c:pt idx="298">
                  <c:v>1863521.0631465535</c:v>
                </c:pt>
                <c:pt idx="299">
                  <c:v>1814760.8469353328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E-4443-A88A-6598239D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684047"/>
        <c:axId val="421696047"/>
      </c:lineChart>
      <c:catAx>
        <c:axId val="4216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696047"/>
        <c:crosses val="autoZero"/>
        <c:auto val="1"/>
        <c:lblAlgn val="ctr"/>
        <c:lblOffset val="100"/>
        <c:noMultiLvlLbl val="0"/>
      </c:catAx>
      <c:valAx>
        <c:axId val="4216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6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创业板!$R$1</c:f>
              <c:strCache>
                <c:ptCount val="1"/>
                <c:pt idx="0">
                  <c:v>number of stocks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创业板!$R$2:$R$301</c:f>
              <c:numCache>
                <c:formatCode>General</c:formatCode>
                <c:ptCount val="30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3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0</c:v>
                </c:pt>
                <c:pt idx="92">
                  <c:v>1</c:v>
                </c:pt>
                <c:pt idx="93">
                  <c:v>4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4</c:v>
                </c:pt>
                <c:pt idx="100">
                  <c:v>4</c:v>
                </c:pt>
                <c:pt idx="101">
                  <c:v>1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0</c:v>
                </c:pt>
                <c:pt idx="124">
                  <c:v>1</c:v>
                </c:pt>
                <c:pt idx="125">
                  <c:v>4</c:v>
                </c:pt>
                <c:pt idx="126">
                  <c:v>3</c:v>
                </c:pt>
                <c:pt idx="127">
                  <c:v>3</c:v>
                </c:pt>
                <c:pt idx="128">
                  <c:v>0</c:v>
                </c:pt>
                <c:pt idx="129">
                  <c:v>0</c:v>
                </c:pt>
                <c:pt idx="130">
                  <c:v>4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3</c:v>
                </c:pt>
                <c:pt idx="145">
                  <c:v>0</c:v>
                </c:pt>
                <c:pt idx="146">
                  <c:v>0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4</c:v>
                </c:pt>
                <c:pt idx="154">
                  <c:v>0</c:v>
                </c:pt>
                <c:pt idx="155">
                  <c:v>0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4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4</c:v>
                </c:pt>
                <c:pt idx="194">
                  <c:v>3</c:v>
                </c:pt>
                <c:pt idx="195">
                  <c:v>3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4</c:v>
                </c:pt>
                <c:pt idx="200">
                  <c:v>0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0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0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1</c:v>
                </c:pt>
                <c:pt idx="226">
                  <c:v>3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4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2</c:v>
                </c:pt>
                <c:pt idx="241">
                  <c:v>4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4</c:v>
                </c:pt>
                <c:pt idx="248">
                  <c:v>4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2</c:v>
                </c:pt>
                <c:pt idx="255">
                  <c:v>4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4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4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2</c:v>
                </c:pt>
                <c:pt idx="288">
                  <c:v>0</c:v>
                </c:pt>
                <c:pt idx="289">
                  <c:v>0</c:v>
                </c:pt>
                <c:pt idx="290">
                  <c:v>3</c:v>
                </c:pt>
                <c:pt idx="291">
                  <c:v>3</c:v>
                </c:pt>
                <c:pt idx="292">
                  <c:v>4</c:v>
                </c:pt>
                <c:pt idx="293">
                  <c:v>1</c:v>
                </c:pt>
                <c:pt idx="294">
                  <c:v>4</c:v>
                </c:pt>
                <c:pt idx="295">
                  <c:v>2</c:v>
                </c:pt>
                <c:pt idx="296">
                  <c:v>0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E-4728-AC0C-85E0A7651964}"/>
            </c:ext>
          </c:extLst>
        </c:ser>
        <c:ser>
          <c:idx val="1"/>
          <c:order val="1"/>
          <c:tx>
            <c:strRef>
              <c:f>主板!$S$1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创业板!$G$2:$G$301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主板!$S$2:$S$301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E-4728-AC0C-85E0A7651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448463"/>
        <c:axId val="896433103"/>
      </c:barChart>
      <c:catAx>
        <c:axId val="89644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433103"/>
        <c:crosses val="autoZero"/>
        <c:auto val="1"/>
        <c:lblAlgn val="ctr"/>
        <c:lblOffset val="100"/>
        <c:noMultiLvlLbl val="0"/>
      </c:catAx>
      <c:valAx>
        <c:axId val="8964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44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</xdr:colOff>
      <xdr:row>20</xdr:row>
      <xdr:rowOff>25400</xdr:rowOff>
    </xdr:from>
    <xdr:to>
      <xdr:col>15</xdr:col>
      <xdr:colOff>88900</xdr:colOff>
      <xdr:row>36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6993DAC-BA49-CC29-C8E1-4A77DC862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17</xdr:row>
      <xdr:rowOff>111125</xdr:rowOff>
    </xdr:from>
    <xdr:to>
      <xdr:col>14</xdr:col>
      <xdr:colOff>82550</xdr:colOff>
      <xdr:row>33</xdr:row>
      <xdr:rowOff>9525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DC86F16-D97F-3079-D34D-54CBCE348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139700</xdr:colOff>
      <xdr:row>12</xdr:row>
      <xdr:rowOff>66675</xdr:rowOff>
    </xdr:from>
    <xdr:to>
      <xdr:col>14</xdr:col>
      <xdr:colOff>88900</xdr:colOff>
      <xdr:row>27</xdr:row>
      <xdr:rowOff>142875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54D666D-BD99-C8F2-B0BD-220059C80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20</xdr:row>
      <xdr:rowOff>101600</xdr:rowOff>
    </xdr:from>
    <xdr:to>
      <xdr:col>15</xdr:col>
      <xdr:colOff>133350</xdr:colOff>
      <xdr:row>39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17B783-F624-0B18-B5CE-AE6960C58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22</xdr:row>
      <xdr:rowOff>44450</xdr:rowOff>
    </xdr:from>
    <xdr:to>
      <xdr:col>26</xdr:col>
      <xdr:colOff>609600</xdr:colOff>
      <xdr:row>37</xdr:row>
      <xdr:rowOff>120650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C3A00DE5-08F4-4B95-8821-22A1F4DD7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</xdr:row>
      <xdr:rowOff>152400</xdr:rowOff>
    </xdr:from>
    <xdr:to>
      <xdr:col>26</xdr:col>
      <xdr:colOff>577850</xdr:colOff>
      <xdr:row>19</xdr:row>
      <xdr:rowOff>50800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90A7AC71-51FA-4CC1-A95C-8721821F9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2"/>
  <sheetViews>
    <sheetView tabSelected="1" topLeftCell="F1" workbookViewId="0">
      <selection activeCell="Z3" sqref="Z3:Z302"/>
    </sheetView>
  </sheetViews>
  <sheetFormatPr defaultRowHeight="14" x14ac:dyDescent="0.3"/>
  <cols>
    <col min="2" max="2" width="15.4140625" customWidth="1"/>
    <col min="3" max="3" width="16.5" customWidth="1"/>
    <col min="4" max="4" width="16.75" customWidth="1"/>
    <col min="5" max="5" width="14.4140625" style="4" customWidth="1"/>
    <col min="6" max="6" width="8.6640625" style="4"/>
    <col min="7" max="7" width="15.4140625" customWidth="1"/>
    <col min="8" max="10" width="8.6640625" style="4"/>
    <col min="12" max="17" width="8.6640625" style="4"/>
    <col min="24" max="24" width="11.1640625" customWidth="1"/>
  </cols>
  <sheetData>
    <row r="1" spans="1:27" x14ac:dyDescent="0.3">
      <c r="A1" t="s">
        <v>1</v>
      </c>
      <c r="B1" t="s">
        <v>2</v>
      </c>
      <c r="C1" s="2" t="s">
        <v>23</v>
      </c>
      <c r="D1" s="3" t="s">
        <v>24</v>
      </c>
      <c r="E1" s="4" t="s">
        <v>14</v>
      </c>
      <c r="F1" s="4" t="s">
        <v>1</v>
      </c>
      <c r="G1" t="s">
        <v>2</v>
      </c>
      <c r="H1" s="4" t="s">
        <v>3</v>
      </c>
      <c r="I1" s="4" t="s">
        <v>15</v>
      </c>
      <c r="J1" s="4" t="s">
        <v>18</v>
      </c>
      <c r="K1" t="s">
        <v>16</v>
      </c>
      <c r="L1" s="4" t="s">
        <v>17</v>
      </c>
      <c r="M1" s="4" t="s">
        <v>19</v>
      </c>
      <c r="N1" s="4" t="s">
        <v>20</v>
      </c>
      <c r="O1" s="4" t="s">
        <v>5</v>
      </c>
      <c r="P1" s="4" t="s">
        <v>4</v>
      </c>
      <c r="Q1" s="4" t="s">
        <v>6</v>
      </c>
      <c r="R1" s="4" t="s">
        <v>13</v>
      </c>
      <c r="V1" t="s">
        <v>6</v>
      </c>
      <c r="W1" t="s">
        <v>13</v>
      </c>
      <c r="X1" t="s">
        <v>21</v>
      </c>
    </row>
    <row r="2" spans="1:27" x14ac:dyDescent="0.3">
      <c r="A2">
        <v>20211206</v>
      </c>
      <c r="B2" s="5">
        <v>44536</v>
      </c>
      <c r="C2">
        <v>1000000</v>
      </c>
      <c r="D2">
        <v>1000000</v>
      </c>
      <c r="E2" s="5">
        <v>44536</v>
      </c>
      <c r="F2" s="4">
        <v>20211206</v>
      </c>
      <c r="G2" s="5" t="s">
        <v>7</v>
      </c>
      <c r="H2" s="4">
        <v>1000000</v>
      </c>
      <c r="I2" s="4">
        <v>1000000</v>
      </c>
      <c r="J2" s="4">
        <v>1000000</v>
      </c>
      <c r="K2" s="4">
        <v>1000000</v>
      </c>
      <c r="L2" s="4">
        <v>1000000</v>
      </c>
      <c r="M2" s="4">
        <v>1000000</v>
      </c>
      <c r="N2" s="4">
        <v>1000000</v>
      </c>
      <c r="O2" s="4">
        <v>1000000</v>
      </c>
      <c r="P2" s="4">
        <v>1000000</v>
      </c>
      <c r="Q2">
        <v>1000000</v>
      </c>
      <c r="R2">
        <v>0</v>
      </c>
      <c r="S2" s="4">
        <v>0</v>
      </c>
      <c r="V2">
        <v>1000000.0000000001</v>
      </c>
      <c r="W2">
        <v>0</v>
      </c>
      <c r="X2">
        <v>1000000</v>
      </c>
      <c r="Y2">
        <v>0</v>
      </c>
    </row>
    <row r="3" spans="1:27" x14ac:dyDescent="0.3">
      <c r="A3">
        <v>20211207</v>
      </c>
      <c r="B3" s="5">
        <v>44537</v>
      </c>
      <c r="C3">
        <v>1014983</v>
      </c>
      <c r="D3">
        <v>1008972.29339999</v>
      </c>
      <c r="E3" s="5">
        <v>44537</v>
      </c>
      <c r="F3" s="4">
        <v>20211207</v>
      </c>
      <c r="G3" s="5"/>
      <c r="H3" s="4">
        <v>1017256.69212</v>
      </c>
      <c r="I3" s="4">
        <v>1017256.69212</v>
      </c>
      <c r="J3" s="4">
        <v>1048706.47196</v>
      </c>
      <c r="K3">
        <v>1014454.434719998</v>
      </c>
      <c r="L3" s="4">
        <v>1023236.75836</v>
      </c>
      <c r="M3" s="4">
        <v>1022257.9014199979</v>
      </c>
      <c r="N3" s="4">
        <v>1029832.6025</v>
      </c>
      <c r="O3" s="4">
        <v>1031612.04926</v>
      </c>
      <c r="P3" s="4">
        <v>1031612.04926</v>
      </c>
      <c r="Q3">
        <v>1000000</v>
      </c>
      <c r="R3">
        <v>0</v>
      </c>
      <c r="S3" s="4">
        <v>0</v>
      </c>
      <c r="T3">
        <f>Q3-Q2</f>
        <v>0</v>
      </c>
      <c r="U3">
        <f>R3-T3</f>
        <v>0</v>
      </c>
      <c r="V3">
        <v>1000000.0000000001</v>
      </c>
      <c r="W3">
        <v>0</v>
      </c>
      <c r="X3">
        <v>999668.99715281022</v>
      </c>
      <c r="Y3">
        <v>1</v>
      </c>
      <c r="Z3">
        <f>(X3-X2)/X2</f>
        <v>-3.3100284718978219E-4</v>
      </c>
      <c r="AA3">
        <f>(((1+AVERAGE(Z3:Z301))^242)-1-0.025)/(_xlfn.STDEV.P(Z3:Z301)*(242^0.5))</f>
        <v>6.5887852815370902</v>
      </c>
    </row>
    <row r="4" spans="1:27" x14ac:dyDescent="0.3">
      <c r="A4">
        <v>20211208</v>
      </c>
      <c r="B4" s="5">
        <v>44538</v>
      </c>
      <c r="C4">
        <v>1031779.9536670002</v>
      </c>
      <c r="D4">
        <v>1018433.9465</v>
      </c>
      <c r="E4" s="5">
        <v>44538</v>
      </c>
      <c r="F4" s="4">
        <v>20211208</v>
      </c>
      <c r="G4" s="5"/>
      <c r="H4" s="4">
        <v>1009433.1579</v>
      </c>
      <c r="I4" s="4">
        <v>1004606.363239998</v>
      </c>
      <c r="J4" s="4">
        <v>1043273.737359998</v>
      </c>
      <c r="K4">
        <v>1006442.6396999999</v>
      </c>
      <c r="L4" s="4">
        <v>1034071.0919600001</v>
      </c>
      <c r="M4" s="4">
        <v>1033049.729019998</v>
      </c>
      <c r="N4" s="4">
        <v>1045679.5578</v>
      </c>
      <c r="O4" s="4">
        <v>1023468.02116</v>
      </c>
      <c r="P4" s="4">
        <v>1030912.380559998</v>
      </c>
      <c r="Q4">
        <v>1000592.5300449204</v>
      </c>
      <c r="R4">
        <v>2</v>
      </c>
      <c r="S4" s="4">
        <v>0</v>
      </c>
      <c r="T4">
        <f t="shared" ref="T4:T67" si="0">Q4-Q3</f>
        <v>592.53004492039327</v>
      </c>
      <c r="U4">
        <f t="shared" ref="U4:U67" si="1">R4-T4</f>
        <v>-590.53004492039327</v>
      </c>
      <c r="V4">
        <v>1000592.5325579811</v>
      </c>
      <c r="W4">
        <v>2</v>
      </c>
      <c r="X4">
        <v>992239.66065779503</v>
      </c>
      <c r="Y4">
        <v>1</v>
      </c>
      <c r="Z4">
        <f t="shared" ref="Z4:Z67" si="2">(X4-X3)/X3</f>
        <v>-7.4317964407968271E-3</v>
      </c>
    </row>
    <row r="5" spans="1:27" x14ac:dyDescent="0.3">
      <c r="A5">
        <v>20211209</v>
      </c>
      <c r="B5" s="5">
        <v>44539</v>
      </c>
      <c r="C5">
        <v>1026973.9226428192</v>
      </c>
      <c r="D5">
        <v>1022339.0622</v>
      </c>
      <c r="E5" s="5">
        <v>44539</v>
      </c>
      <c r="F5" s="4">
        <v>20211209</v>
      </c>
      <c r="G5" s="5"/>
      <c r="H5" s="4">
        <v>1016467.4171800001</v>
      </c>
      <c r="I5" s="4">
        <v>1011646.87346</v>
      </c>
      <c r="J5" s="4">
        <v>1034094.93356</v>
      </c>
      <c r="K5">
        <v>1048568.7098</v>
      </c>
      <c r="L5" s="4">
        <v>1037966.41556</v>
      </c>
      <c r="M5" s="4">
        <v>1037532.3908399999</v>
      </c>
      <c r="N5" s="4">
        <v>1062933.3086999981</v>
      </c>
      <c r="O5" s="4">
        <v>1032879.15338</v>
      </c>
      <c r="P5" s="4">
        <v>1058969.7458999981</v>
      </c>
      <c r="Q5">
        <v>1000592.5300449204</v>
      </c>
      <c r="R5">
        <v>0</v>
      </c>
      <c r="S5" s="4">
        <v>0</v>
      </c>
      <c r="T5">
        <f t="shared" si="0"/>
        <v>0</v>
      </c>
      <c r="U5">
        <f t="shared" si="1"/>
        <v>0</v>
      </c>
      <c r="V5">
        <v>1000592.5325579811</v>
      </c>
      <c r="W5">
        <v>0</v>
      </c>
      <c r="X5">
        <v>1064278.0771176834</v>
      </c>
      <c r="Y5">
        <v>1</v>
      </c>
      <c r="Z5">
        <f t="shared" si="2"/>
        <v>7.260183130770162E-2</v>
      </c>
    </row>
    <row r="6" spans="1:27" x14ac:dyDescent="0.3">
      <c r="A6">
        <v>20211210</v>
      </c>
      <c r="B6" s="5">
        <v>44540</v>
      </c>
      <c r="C6">
        <v>1032784.5410971321</v>
      </c>
      <c r="D6">
        <v>1030418.87689999</v>
      </c>
      <c r="E6" s="5">
        <v>44540</v>
      </c>
      <c r="F6" s="4">
        <v>20211210</v>
      </c>
      <c r="G6" s="5"/>
      <c r="H6" s="4">
        <v>1009332.4429400001</v>
      </c>
      <c r="I6" s="4">
        <v>1012342.4245200001</v>
      </c>
      <c r="J6" s="4">
        <v>1062417.9424399999</v>
      </c>
      <c r="K6">
        <v>1051388.6135399998</v>
      </c>
      <c r="L6" s="4">
        <v>1046480.7616800001</v>
      </c>
      <c r="M6" s="4">
        <v>1046048.3943</v>
      </c>
      <c r="N6" s="4">
        <v>1063310.634459998</v>
      </c>
      <c r="O6" s="4">
        <v>1025633.5357000001</v>
      </c>
      <c r="P6" s="4">
        <v>1073672.64182</v>
      </c>
      <c r="Q6">
        <v>977323.42525797582</v>
      </c>
      <c r="R6">
        <v>2</v>
      </c>
      <c r="S6" s="4">
        <v>0</v>
      </c>
      <c r="T6">
        <f t="shared" si="0"/>
        <v>-23269.104786944576</v>
      </c>
      <c r="U6">
        <f t="shared" si="1"/>
        <v>23271.104786944576</v>
      </c>
      <c r="V6">
        <v>977323.44933715696</v>
      </c>
      <c r="W6">
        <v>2</v>
      </c>
      <c r="X6">
        <v>1051549.370113817</v>
      </c>
      <c r="Y6">
        <v>1</v>
      </c>
      <c r="Z6">
        <f t="shared" si="2"/>
        <v>-1.1959944752727285E-2</v>
      </c>
    </row>
    <row r="7" spans="1:27" x14ac:dyDescent="0.3">
      <c r="A7">
        <v>20211213</v>
      </c>
      <c r="B7" s="5">
        <v>44543</v>
      </c>
      <c r="C7">
        <v>1025839.0650582539</v>
      </c>
      <c r="D7">
        <v>1033659.3894</v>
      </c>
      <c r="E7" s="5">
        <v>44543</v>
      </c>
      <c r="F7" s="4">
        <v>20211213</v>
      </c>
      <c r="G7" s="5"/>
      <c r="H7" s="4">
        <v>990616.12398000003</v>
      </c>
      <c r="I7" s="4">
        <v>995002.11972000008</v>
      </c>
      <c r="J7" s="4">
        <v>1077079.5779599999</v>
      </c>
      <c r="K7">
        <v>1058083.83482</v>
      </c>
      <c r="L7" s="4">
        <v>1049334.87668</v>
      </c>
      <c r="M7" s="4">
        <v>1048849.7825200001</v>
      </c>
      <c r="N7" s="4">
        <v>1064093.201299998</v>
      </c>
      <c r="O7" s="4">
        <v>1032149.8441199999</v>
      </c>
      <c r="P7" s="4">
        <v>1081566.6663999981</v>
      </c>
      <c r="Q7">
        <v>947099.81967489398</v>
      </c>
      <c r="R7">
        <v>2</v>
      </c>
      <c r="S7" s="4">
        <v>0</v>
      </c>
      <c r="T7">
        <f t="shared" si="0"/>
        <v>-30223.605583081837</v>
      </c>
      <c r="U7">
        <f t="shared" si="1"/>
        <v>30225.605583081837</v>
      </c>
      <c r="V7">
        <v>997817.41761393892</v>
      </c>
      <c r="W7">
        <v>1</v>
      </c>
      <c r="X7">
        <v>1073599.7822452977</v>
      </c>
      <c r="Y7">
        <v>1</v>
      </c>
      <c r="Z7">
        <f t="shared" si="2"/>
        <v>2.0969450182918143E-2</v>
      </c>
    </row>
    <row r="8" spans="1:27" x14ac:dyDescent="0.3">
      <c r="A8">
        <v>20211214</v>
      </c>
      <c r="B8" s="5">
        <v>44544</v>
      </c>
      <c r="C8">
        <v>1016925.5494219627</v>
      </c>
      <c r="D8">
        <v>1049149.5689000001</v>
      </c>
      <c r="E8" s="5">
        <v>44544</v>
      </c>
      <c r="F8" s="4">
        <v>20211214</v>
      </c>
      <c r="G8" s="5"/>
      <c r="H8" s="4">
        <v>1017897.5414000001</v>
      </c>
      <c r="I8" s="4">
        <v>1020236.4294399999</v>
      </c>
      <c r="J8" s="4">
        <v>1102306.52718</v>
      </c>
      <c r="K8">
        <v>1087231.36338</v>
      </c>
      <c r="L8" s="4">
        <v>1065205.24138</v>
      </c>
      <c r="M8" s="4">
        <v>1064720.2773</v>
      </c>
      <c r="N8" s="4">
        <v>1084785.4285399981</v>
      </c>
      <c r="O8" s="4">
        <v>1060579.6044399999</v>
      </c>
      <c r="P8" s="4">
        <v>1111360.4711799999</v>
      </c>
      <c r="Q8">
        <v>1040744.558875418</v>
      </c>
      <c r="R8">
        <v>1</v>
      </c>
      <c r="S8" s="4">
        <v>0</v>
      </c>
      <c r="T8">
        <f t="shared" si="0"/>
        <v>93644.739200524054</v>
      </c>
      <c r="U8">
        <f t="shared" si="1"/>
        <v>-93643.739200524054</v>
      </c>
      <c r="V8">
        <v>1096476.8591737659</v>
      </c>
      <c r="W8">
        <v>1</v>
      </c>
      <c r="X8">
        <v>1179752.1851438866</v>
      </c>
      <c r="Y8">
        <v>1</v>
      </c>
      <c r="Z8">
        <f t="shared" si="2"/>
        <v>9.8875209043527035E-2</v>
      </c>
    </row>
    <row r="9" spans="1:27" x14ac:dyDescent="0.3">
      <c r="A9">
        <v>20211215</v>
      </c>
      <c r="B9" s="5">
        <v>44545</v>
      </c>
      <c r="C9">
        <v>1022766.7697778424</v>
      </c>
      <c r="D9">
        <v>1046870.79279999</v>
      </c>
      <c r="E9" s="5">
        <v>44545</v>
      </c>
      <c r="F9" s="4">
        <v>20211215</v>
      </c>
      <c r="G9" s="5"/>
      <c r="H9" s="4">
        <v>1035594.21326</v>
      </c>
      <c r="I9" s="4">
        <v>1040730.15414</v>
      </c>
      <c r="J9" s="4">
        <v>1085864.4024</v>
      </c>
      <c r="K9">
        <v>1082799.91802</v>
      </c>
      <c r="L9" s="4">
        <v>1062762.23428</v>
      </c>
      <c r="M9" s="4">
        <v>1062272.4662799998</v>
      </c>
      <c r="N9" s="4">
        <v>1072371.665959998</v>
      </c>
      <c r="O9" s="4">
        <v>1074144.954999998</v>
      </c>
      <c r="P9" s="4">
        <v>1106817.68392</v>
      </c>
      <c r="Q9">
        <v>1041430.0443168872</v>
      </c>
      <c r="R9">
        <v>1</v>
      </c>
      <c r="S9" s="4">
        <v>0</v>
      </c>
      <c r="T9">
        <f t="shared" si="0"/>
        <v>685.48544146912172</v>
      </c>
      <c r="U9">
        <f t="shared" si="1"/>
        <v>-684.48544146912172</v>
      </c>
      <c r="V9">
        <v>1097199.0531725555</v>
      </c>
      <c r="W9">
        <v>1</v>
      </c>
      <c r="X9">
        <v>1180529.2246899428</v>
      </c>
      <c r="Y9">
        <v>1</v>
      </c>
      <c r="Z9">
        <f t="shared" si="2"/>
        <v>6.586464139173555E-4</v>
      </c>
    </row>
    <row r="10" spans="1:27" x14ac:dyDescent="0.3">
      <c r="A10">
        <v>20211216</v>
      </c>
      <c r="B10" s="5">
        <v>44546</v>
      </c>
      <c r="C10">
        <v>1006504.7781383747</v>
      </c>
      <c r="D10">
        <v>1033420.5911</v>
      </c>
      <c r="E10" s="5">
        <v>44546</v>
      </c>
      <c r="F10" s="4">
        <v>20211216</v>
      </c>
      <c r="G10" s="5"/>
      <c r="H10" s="4">
        <v>1020636.32654</v>
      </c>
      <c r="I10" s="4">
        <v>1028115.43486</v>
      </c>
      <c r="J10" s="4">
        <v>1091982.40812</v>
      </c>
      <c r="K10">
        <v>1074086.0901799998</v>
      </c>
      <c r="L10" s="4">
        <v>1045600.80858</v>
      </c>
      <c r="M10" s="4">
        <v>1046091.4289200001</v>
      </c>
      <c r="N10" s="4">
        <v>1059821.753959998</v>
      </c>
      <c r="O10" s="4">
        <v>1071509.05366</v>
      </c>
      <c r="P10" s="4">
        <v>1097915.2614599981</v>
      </c>
      <c r="Q10">
        <v>1026101.743587902</v>
      </c>
      <c r="R10">
        <v>2</v>
      </c>
      <c r="S10" s="4">
        <v>0</v>
      </c>
      <c r="T10">
        <f t="shared" si="0"/>
        <v>-15328.300728985108</v>
      </c>
      <c r="U10">
        <f t="shared" si="1"/>
        <v>15330.300728985108</v>
      </c>
      <c r="V10">
        <v>1081049.7878253011</v>
      </c>
      <c r="W10">
        <v>2</v>
      </c>
      <c r="X10">
        <v>1128574.3639414681</v>
      </c>
      <c r="Y10">
        <v>1</v>
      </c>
      <c r="Z10">
        <f t="shared" si="2"/>
        <v>-4.4009804807771932E-2</v>
      </c>
    </row>
    <row r="11" spans="1:27" x14ac:dyDescent="0.3">
      <c r="A11">
        <v>20211217</v>
      </c>
      <c r="B11" s="5">
        <v>44547</v>
      </c>
      <c r="C11">
        <v>991387.07637073635</v>
      </c>
      <c r="D11">
        <v>1013837.3005</v>
      </c>
      <c r="E11" s="5">
        <v>44547</v>
      </c>
      <c r="F11" s="4">
        <v>20211217</v>
      </c>
      <c r="G11" s="5"/>
      <c r="H11" s="4">
        <v>1008636.8057199999</v>
      </c>
      <c r="I11" s="4">
        <v>1032542.70536</v>
      </c>
      <c r="J11" s="4">
        <v>1044222.46376</v>
      </c>
      <c r="K11">
        <v>1061941.3361</v>
      </c>
      <c r="L11" s="4">
        <v>1025358.34026</v>
      </c>
      <c r="M11" s="4">
        <v>1025849.3112999999</v>
      </c>
      <c r="N11" s="4">
        <v>1032063.4980799981</v>
      </c>
      <c r="O11" s="4">
        <v>1059382.707819998</v>
      </c>
      <c r="P11" s="4">
        <v>1089501.5741799981</v>
      </c>
      <c r="Q11">
        <v>1007495.3911535764</v>
      </c>
      <c r="R11">
        <v>2</v>
      </c>
      <c r="S11" s="4">
        <v>0</v>
      </c>
      <c r="T11">
        <f t="shared" si="0"/>
        <v>-18606.352434325614</v>
      </c>
      <c r="U11">
        <f t="shared" si="1"/>
        <v>18608.352434325614</v>
      </c>
      <c r="V11">
        <v>1058542.9467220593</v>
      </c>
      <c r="W11">
        <v>1</v>
      </c>
      <c r="X11">
        <v>1119912.9239048739</v>
      </c>
      <c r="Y11">
        <v>4</v>
      </c>
      <c r="Z11">
        <f t="shared" si="2"/>
        <v>-7.6746737417857759E-3</v>
      </c>
    </row>
    <row r="12" spans="1:27" x14ac:dyDescent="0.3">
      <c r="A12">
        <v>20211220</v>
      </c>
      <c r="B12" s="5">
        <v>44550</v>
      </c>
      <c r="C12">
        <v>998087.86161992606</v>
      </c>
      <c r="D12">
        <v>1019095.2769000001</v>
      </c>
      <c r="E12" s="5">
        <v>44550</v>
      </c>
      <c r="F12" s="4">
        <v>20211220</v>
      </c>
      <c r="G12" s="5"/>
      <c r="H12" s="4">
        <v>1000778.736239998</v>
      </c>
      <c r="I12" s="4">
        <v>1041751.0897199999</v>
      </c>
      <c r="J12" s="4">
        <v>1051739.0677</v>
      </c>
      <c r="K12">
        <v>1080167.4393799999</v>
      </c>
      <c r="L12" s="4">
        <v>1030176.79998</v>
      </c>
      <c r="M12" s="4">
        <v>1030666.8886600001</v>
      </c>
      <c r="N12" s="4">
        <v>1035711.0063599979</v>
      </c>
      <c r="O12" s="4">
        <v>1089484.295599998</v>
      </c>
      <c r="P12" s="4">
        <v>1125326.956159998</v>
      </c>
      <c r="Q12">
        <v>1071979.4222698701</v>
      </c>
      <c r="R12">
        <v>1</v>
      </c>
      <c r="S12" s="4">
        <v>0</v>
      </c>
      <c r="T12">
        <f t="shared" si="0"/>
        <v>64484.031116293627</v>
      </c>
      <c r="U12">
        <f t="shared" si="1"/>
        <v>-64483.031116293627</v>
      </c>
      <c r="V12">
        <v>1109872.1769395245</v>
      </c>
      <c r="W12">
        <v>3</v>
      </c>
      <c r="X12">
        <v>1156787.7935845007</v>
      </c>
      <c r="Y12">
        <v>4</v>
      </c>
      <c r="Z12">
        <f t="shared" si="2"/>
        <v>3.2926550709900505E-2</v>
      </c>
    </row>
    <row r="13" spans="1:27" x14ac:dyDescent="0.3">
      <c r="A13">
        <v>20211221</v>
      </c>
      <c r="B13" s="5">
        <v>44551</v>
      </c>
      <c r="C13">
        <v>998268.51552287932</v>
      </c>
      <c r="D13">
        <v>1026004.5307999999</v>
      </c>
      <c r="E13" s="5">
        <v>44551</v>
      </c>
      <c r="F13" s="4">
        <v>20211221</v>
      </c>
      <c r="G13" s="5"/>
      <c r="H13" s="4">
        <v>1014475.3830399981</v>
      </c>
      <c r="I13" s="4">
        <v>1041643.7339199999</v>
      </c>
      <c r="J13" s="4">
        <v>1053318.730539998</v>
      </c>
      <c r="K13">
        <v>1089222.07174</v>
      </c>
      <c r="L13" s="4">
        <v>1038139.86788</v>
      </c>
      <c r="M13" s="4">
        <v>1038629.9565600001</v>
      </c>
      <c r="N13" s="4">
        <v>1041167.5172399979</v>
      </c>
      <c r="O13" s="4">
        <v>1098850.7640399979</v>
      </c>
      <c r="P13" s="4">
        <v>1146182.5612399981</v>
      </c>
      <c r="Q13">
        <v>1071979.4222698701</v>
      </c>
      <c r="R13">
        <v>0</v>
      </c>
      <c r="S13" s="4">
        <v>0</v>
      </c>
      <c r="T13">
        <f t="shared" si="0"/>
        <v>0</v>
      </c>
      <c r="U13">
        <f t="shared" si="1"/>
        <v>0</v>
      </c>
      <c r="V13">
        <v>1109872.1769395245</v>
      </c>
      <c r="W13">
        <v>0</v>
      </c>
      <c r="X13">
        <v>1178236.3183115514</v>
      </c>
      <c r="Y13">
        <v>4</v>
      </c>
      <c r="Z13">
        <f t="shared" si="2"/>
        <v>1.854145146240594E-2</v>
      </c>
    </row>
    <row r="14" spans="1:27" x14ac:dyDescent="0.3">
      <c r="A14">
        <v>20211222</v>
      </c>
      <c r="B14" s="5">
        <v>44552</v>
      </c>
      <c r="C14">
        <v>1005216.4643909184</v>
      </c>
      <c r="D14">
        <v>1042084.116</v>
      </c>
      <c r="E14" s="5">
        <v>44552</v>
      </c>
      <c r="F14" s="4">
        <v>20211222</v>
      </c>
      <c r="G14" s="5"/>
      <c r="H14" s="4">
        <v>1040700.9985799979</v>
      </c>
      <c r="I14" s="4">
        <v>1034188.39208</v>
      </c>
      <c r="J14" s="4">
        <v>1062147.2002000001</v>
      </c>
      <c r="K14">
        <v>1125143.87216</v>
      </c>
      <c r="L14" s="4">
        <v>1054852.4020199999</v>
      </c>
      <c r="M14" s="4">
        <v>1055341.0024000001</v>
      </c>
      <c r="N14" s="4">
        <v>1059988.9186599979</v>
      </c>
      <c r="O14" s="4">
        <v>1121262.0382199981</v>
      </c>
      <c r="P14" s="4">
        <v>1200120.7604799981</v>
      </c>
      <c r="Q14">
        <v>1071979.4222698701</v>
      </c>
      <c r="R14">
        <v>0</v>
      </c>
      <c r="S14" s="4">
        <v>0</v>
      </c>
      <c r="T14">
        <f t="shared" si="0"/>
        <v>0</v>
      </c>
      <c r="U14">
        <f t="shared" si="1"/>
        <v>0</v>
      </c>
      <c r="V14">
        <v>1165682.9830620619</v>
      </c>
      <c r="W14">
        <v>3</v>
      </c>
      <c r="X14">
        <v>1233765.0480468727</v>
      </c>
      <c r="Y14">
        <v>4</v>
      </c>
      <c r="Z14">
        <f t="shared" si="2"/>
        <v>4.712868621712131E-2</v>
      </c>
    </row>
    <row r="15" spans="1:27" x14ac:dyDescent="0.3">
      <c r="A15">
        <v>20211223</v>
      </c>
      <c r="B15" s="5">
        <v>44553</v>
      </c>
      <c r="C15">
        <v>999635.50258062</v>
      </c>
      <c r="D15">
        <v>1031939.5791</v>
      </c>
      <c r="E15" s="5">
        <v>44553</v>
      </c>
      <c r="F15" s="4">
        <v>20211223</v>
      </c>
      <c r="G15" s="5"/>
      <c r="H15" s="4">
        <v>1016361.6674399979</v>
      </c>
      <c r="I15" s="4">
        <v>1016636.10122</v>
      </c>
      <c r="J15" s="4">
        <v>1086163.0916800001</v>
      </c>
      <c r="K15">
        <v>1140780.49138</v>
      </c>
      <c r="L15" s="4">
        <v>1048123.45144</v>
      </c>
      <c r="M15" s="4">
        <v>1046266.7232799981</v>
      </c>
      <c r="N15" s="4">
        <v>1055173.1206599982</v>
      </c>
      <c r="O15" s="4">
        <v>1136833.2053599979</v>
      </c>
      <c r="P15" s="4">
        <v>1216804.8565199999</v>
      </c>
      <c r="Q15">
        <v>1071979.4222698701</v>
      </c>
      <c r="R15">
        <v>0</v>
      </c>
      <c r="S15" s="4">
        <v>0</v>
      </c>
      <c r="T15">
        <f t="shared" si="0"/>
        <v>0</v>
      </c>
      <c r="U15">
        <f t="shared" si="1"/>
        <v>0</v>
      </c>
      <c r="V15">
        <v>1280467.9210168503</v>
      </c>
      <c r="W15">
        <v>1</v>
      </c>
      <c r="X15">
        <v>1250921.5290582734</v>
      </c>
      <c r="Y15">
        <v>4</v>
      </c>
      <c r="Z15">
        <f t="shared" si="2"/>
        <v>1.3905792710338554E-2</v>
      </c>
    </row>
    <row r="16" spans="1:27" x14ac:dyDescent="0.3">
      <c r="A16">
        <v>20211224</v>
      </c>
      <c r="B16" s="5">
        <v>44554</v>
      </c>
      <c r="C16">
        <v>999208.65822101815</v>
      </c>
      <c r="D16">
        <v>1022750.6841</v>
      </c>
      <c r="E16" s="5">
        <v>44554</v>
      </c>
      <c r="F16" s="4">
        <v>20211224</v>
      </c>
      <c r="G16" s="5"/>
      <c r="H16" s="4">
        <v>1020915.0012199979</v>
      </c>
      <c r="I16" s="4">
        <v>1025313.3565</v>
      </c>
      <c r="J16" s="4">
        <v>1108720.00556</v>
      </c>
      <c r="K16">
        <v>1134649.5640199981</v>
      </c>
      <c r="L16" s="4">
        <v>1036851.1946</v>
      </c>
      <c r="M16" s="4">
        <v>1031299.87512</v>
      </c>
      <c r="N16" s="4">
        <v>1037742.822439998</v>
      </c>
      <c r="O16" s="4">
        <v>1130724.252859998</v>
      </c>
      <c r="P16" s="4">
        <v>1237013.83662</v>
      </c>
      <c r="Q16">
        <v>1032660.1753104331</v>
      </c>
      <c r="R16">
        <v>1</v>
      </c>
      <c r="S16" s="4">
        <v>0</v>
      </c>
      <c r="T16">
        <f t="shared" si="0"/>
        <v>-39319.246959436918</v>
      </c>
      <c r="U16">
        <f t="shared" si="1"/>
        <v>39320.246959436918</v>
      </c>
      <c r="V16">
        <v>1318760.8781732649</v>
      </c>
      <c r="W16">
        <v>3</v>
      </c>
      <c r="X16">
        <v>1271727.365018572</v>
      </c>
      <c r="Y16">
        <v>4</v>
      </c>
      <c r="Z16">
        <f t="shared" si="2"/>
        <v>1.6632406971172464E-2</v>
      </c>
    </row>
    <row r="17" spans="1:26" x14ac:dyDescent="0.3">
      <c r="A17">
        <v>20211227</v>
      </c>
      <c r="B17" s="5">
        <v>44557</v>
      </c>
      <c r="C17">
        <v>1006634.7769689169</v>
      </c>
      <c r="D17">
        <v>1018736.745</v>
      </c>
      <c r="E17" s="5">
        <v>44557</v>
      </c>
      <c r="F17" s="4">
        <v>20211227</v>
      </c>
      <c r="G17" s="5"/>
      <c r="H17" s="4">
        <v>1014211.4205799981</v>
      </c>
      <c r="I17" s="4">
        <v>1015750.9128399979</v>
      </c>
      <c r="J17" s="4">
        <v>1089820.7632200001</v>
      </c>
      <c r="K17">
        <v>1122444.8014599981</v>
      </c>
      <c r="L17" s="4">
        <v>1032363.57072</v>
      </c>
      <c r="M17" s="4">
        <v>1025503.077719998</v>
      </c>
      <c r="N17" s="4">
        <v>1027678.591379998</v>
      </c>
      <c r="O17" s="4">
        <v>1126058.6093999981</v>
      </c>
      <c r="P17" s="4">
        <v>1223206.85852</v>
      </c>
      <c r="Q17">
        <v>996453.4844325718</v>
      </c>
      <c r="R17">
        <v>1</v>
      </c>
      <c r="S17" s="4">
        <v>0</v>
      </c>
      <c r="T17">
        <f t="shared" si="0"/>
        <v>-36206.690877861343</v>
      </c>
      <c r="U17">
        <f t="shared" si="1"/>
        <v>36207.690877861343</v>
      </c>
      <c r="V17">
        <v>1294518.5073237433</v>
      </c>
      <c r="W17">
        <v>3</v>
      </c>
      <c r="X17">
        <v>1257526.4704039069</v>
      </c>
      <c r="Y17">
        <v>4</v>
      </c>
      <c r="Z17">
        <f t="shared" si="2"/>
        <v>-1.1166618730782509E-2</v>
      </c>
    </row>
    <row r="18" spans="1:26" x14ac:dyDescent="0.3">
      <c r="A18">
        <v>20211228</v>
      </c>
      <c r="B18" s="5">
        <v>44558</v>
      </c>
      <c r="C18">
        <v>991895.63056453783</v>
      </c>
      <c r="D18">
        <v>1007901.0024999999</v>
      </c>
      <c r="E18" s="5">
        <v>44558</v>
      </c>
      <c r="F18" s="4">
        <v>20211228</v>
      </c>
      <c r="G18" s="5"/>
      <c r="H18" s="4">
        <v>1035182.000959998</v>
      </c>
      <c r="I18" s="4">
        <v>1038030.3854399979</v>
      </c>
      <c r="J18" s="4">
        <v>1099870.2921800001</v>
      </c>
      <c r="K18">
        <v>1132859.760719998</v>
      </c>
      <c r="L18" s="4">
        <v>1019655.70362</v>
      </c>
      <c r="M18" s="4">
        <v>1012549.9077</v>
      </c>
      <c r="N18" s="4">
        <v>1015099.2108199981</v>
      </c>
      <c r="O18" s="4">
        <v>1136513.146139998</v>
      </c>
      <c r="P18" s="4">
        <v>1240814.1497199999</v>
      </c>
      <c r="Q18">
        <v>1093931.3269148807</v>
      </c>
      <c r="R18">
        <v>1</v>
      </c>
      <c r="S18" s="4">
        <v>0</v>
      </c>
      <c r="T18">
        <f t="shared" si="0"/>
        <v>97477.842482308857</v>
      </c>
      <c r="U18">
        <f t="shared" si="1"/>
        <v>-97476.842482308857</v>
      </c>
      <c r="V18">
        <v>1342008.0586500466</v>
      </c>
      <c r="W18">
        <v>3</v>
      </c>
      <c r="X18">
        <v>1275594.8491874998</v>
      </c>
      <c r="Y18">
        <v>4</v>
      </c>
      <c r="Z18">
        <f t="shared" si="2"/>
        <v>1.4368189623705927E-2</v>
      </c>
    </row>
    <row r="19" spans="1:26" x14ac:dyDescent="0.3">
      <c r="A19">
        <v>20211229</v>
      </c>
      <c r="B19" s="5">
        <v>44559</v>
      </c>
      <c r="C19">
        <v>999604.64340528543</v>
      </c>
      <c r="D19">
        <v>1019386.5261</v>
      </c>
      <c r="E19" s="5">
        <v>44559</v>
      </c>
      <c r="F19" s="4">
        <v>20211229</v>
      </c>
      <c r="G19" s="5"/>
      <c r="H19" s="4">
        <v>1059159.556979998</v>
      </c>
      <c r="I19" s="4">
        <v>1054388.618779998</v>
      </c>
      <c r="J19" s="4">
        <v>1118590.54956</v>
      </c>
      <c r="K19">
        <v>1140804.4389599981</v>
      </c>
      <c r="L19" s="4">
        <v>1031460.78458</v>
      </c>
      <c r="M19" s="4">
        <v>1025687.67138</v>
      </c>
      <c r="N19" s="4">
        <v>1024316.709539998</v>
      </c>
      <c r="O19" s="4">
        <v>1144482.577619998</v>
      </c>
      <c r="P19" s="4">
        <v>1249518.3461200001</v>
      </c>
      <c r="Q19">
        <v>1090365.5884204591</v>
      </c>
      <c r="R19">
        <v>2</v>
      </c>
      <c r="S19" s="4">
        <v>0</v>
      </c>
      <c r="T19">
        <f t="shared" si="0"/>
        <v>-3565.7384944215883</v>
      </c>
      <c r="U19">
        <f t="shared" si="1"/>
        <v>3567.7384944215883</v>
      </c>
      <c r="V19">
        <v>1337633.6407854292</v>
      </c>
      <c r="W19">
        <v>2</v>
      </c>
      <c r="X19">
        <v>1271437.2122371565</v>
      </c>
      <c r="Y19">
        <v>2</v>
      </c>
      <c r="Z19">
        <f t="shared" si="2"/>
        <v>-3.2593710714586385E-3</v>
      </c>
    </row>
    <row r="20" spans="1:26" x14ac:dyDescent="0.3">
      <c r="A20">
        <v>20211230</v>
      </c>
      <c r="B20" s="5">
        <v>44560</v>
      </c>
      <c r="C20">
        <v>1003420.1343291632</v>
      </c>
      <c r="D20">
        <v>1021079.5575999999</v>
      </c>
      <c r="E20" s="5">
        <v>44560</v>
      </c>
      <c r="F20" s="4">
        <v>20211230</v>
      </c>
      <c r="G20" s="5"/>
      <c r="H20" s="4">
        <v>1047617.680459998</v>
      </c>
      <c r="I20" s="4">
        <v>1071390.8356399979</v>
      </c>
      <c r="J20" s="4">
        <v>1146053.9634</v>
      </c>
      <c r="K20">
        <v>1126490.769519998</v>
      </c>
      <c r="L20" s="4">
        <v>1032825.2039999999</v>
      </c>
      <c r="M20" s="4">
        <v>1027007.6656199999</v>
      </c>
      <c r="N20" s="4">
        <v>1025442.0951599979</v>
      </c>
      <c r="O20" s="4">
        <v>1143292.5708799982</v>
      </c>
      <c r="P20" s="4">
        <v>1237998.6307000001</v>
      </c>
      <c r="Q20">
        <v>1090365.5884204591</v>
      </c>
      <c r="R20">
        <v>0</v>
      </c>
      <c r="S20" s="4">
        <v>0</v>
      </c>
      <c r="T20">
        <f t="shared" si="0"/>
        <v>0</v>
      </c>
      <c r="U20">
        <f t="shared" si="1"/>
        <v>0</v>
      </c>
      <c r="V20">
        <v>1327064.5205599372</v>
      </c>
      <c r="W20">
        <v>2</v>
      </c>
      <c r="X20">
        <v>1261391.2770871832</v>
      </c>
      <c r="Y20">
        <v>2</v>
      </c>
      <c r="Z20">
        <f t="shared" si="2"/>
        <v>-7.9012436109974632E-3</v>
      </c>
    </row>
    <row r="21" spans="1:26" x14ac:dyDescent="0.3">
      <c r="A21">
        <v>20211231</v>
      </c>
      <c r="B21" s="5">
        <v>44561</v>
      </c>
      <c r="C21">
        <v>998812.42907232384</v>
      </c>
      <c r="D21">
        <v>1009739.2028</v>
      </c>
      <c r="E21" s="5">
        <v>44561</v>
      </c>
      <c r="G21" s="5"/>
      <c r="H21" s="4">
        <v>1029173.2929199981</v>
      </c>
      <c r="I21" s="4">
        <v>1067898.653599998</v>
      </c>
      <c r="J21" s="4">
        <v>1125877.9631999999</v>
      </c>
      <c r="K21">
        <v>1098910.8332199981</v>
      </c>
      <c r="L21" s="4">
        <v>1019503.3418400001</v>
      </c>
      <c r="M21" s="4">
        <v>1016501.855199998</v>
      </c>
      <c r="N21" s="4">
        <v>1014340.9745799979</v>
      </c>
      <c r="O21" s="4">
        <v>1119282.070519998</v>
      </c>
      <c r="P21" s="4">
        <v>1236849.73526</v>
      </c>
      <c r="Q21">
        <v>1090365.5884204591</v>
      </c>
      <c r="R21">
        <v>0</v>
      </c>
      <c r="S21" s="4">
        <v>0</v>
      </c>
      <c r="T21">
        <f t="shared" si="0"/>
        <v>0</v>
      </c>
      <c r="U21">
        <f t="shared" si="1"/>
        <v>0</v>
      </c>
      <c r="V21">
        <v>1327064.5205599372</v>
      </c>
      <c r="W21">
        <v>0</v>
      </c>
      <c r="X21">
        <v>1260132.0916158184</v>
      </c>
      <c r="Y21">
        <v>2</v>
      </c>
      <c r="Z21">
        <f t="shared" si="2"/>
        <v>-9.9825129144105523E-4</v>
      </c>
    </row>
    <row r="22" spans="1:26" x14ac:dyDescent="0.3">
      <c r="A22">
        <v>20220104</v>
      </c>
      <c r="B22" s="5">
        <v>44565</v>
      </c>
      <c r="C22">
        <v>988713.43660197349</v>
      </c>
      <c r="D22">
        <v>996402.8885</v>
      </c>
      <c r="E22" s="5">
        <v>44565</v>
      </c>
      <c r="F22" s="4">
        <v>20220104</v>
      </c>
      <c r="G22" s="5"/>
      <c r="H22" s="4">
        <v>1011985.1673999981</v>
      </c>
      <c r="I22" s="4">
        <v>1046715.5614399981</v>
      </c>
      <c r="J22" s="4">
        <v>1098013.0518</v>
      </c>
      <c r="K22">
        <v>1073844.1837599981</v>
      </c>
      <c r="L22" s="4">
        <v>1003625.28256</v>
      </c>
      <c r="M22" s="4">
        <v>1003370.9473799979</v>
      </c>
      <c r="N22" s="4">
        <v>999785.52704000007</v>
      </c>
      <c r="O22" s="4">
        <v>1094882.0438399981</v>
      </c>
      <c r="P22" s="4">
        <v>1219782.85662</v>
      </c>
      <c r="Q22">
        <v>1090365.5884204591</v>
      </c>
      <c r="R22">
        <v>0</v>
      </c>
      <c r="S22" s="4">
        <v>0</v>
      </c>
      <c r="T22">
        <f t="shared" si="0"/>
        <v>0</v>
      </c>
      <c r="U22">
        <f t="shared" si="1"/>
        <v>0</v>
      </c>
      <c r="V22">
        <v>1307347.7242454041</v>
      </c>
      <c r="W22">
        <v>1</v>
      </c>
      <c r="X22">
        <v>1241426.8510196568</v>
      </c>
      <c r="Y22">
        <v>2</v>
      </c>
      <c r="Z22">
        <f t="shared" si="2"/>
        <v>-1.4843872892862117E-2</v>
      </c>
    </row>
    <row r="23" spans="1:26" x14ac:dyDescent="0.3">
      <c r="A23">
        <v>20220105</v>
      </c>
      <c r="B23" s="5">
        <v>44566</v>
      </c>
      <c r="C23">
        <v>978565.28188869078</v>
      </c>
      <c r="D23">
        <v>997248.33609999996</v>
      </c>
      <c r="E23" s="5">
        <v>44566</v>
      </c>
      <c r="F23" s="4">
        <v>20220105</v>
      </c>
      <c r="G23" s="5"/>
      <c r="H23" s="4">
        <v>1023373.368219998</v>
      </c>
      <c r="I23" s="4">
        <v>1062574.8387599981</v>
      </c>
      <c r="J23" s="4">
        <v>1106016.71352</v>
      </c>
      <c r="K23">
        <v>1099719.002919998</v>
      </c>
      <c r="L23" s="4">
        <v>1006079.6769600001</v>
      </c>
      <c r="M23" s="4">
        <v>1007971.378919998</v>
      </c>
      <c r="N23" s="4">
        <v>1003155.701739998</v>
      </c>
      <c r="O23" s="4">
        <v>1112648.2780999981</v>
      </c>
      <c r="P23" s="4">
        <v>1227320.0082800002</v>
      </c>
      <c r="Q23">
        <v>1107802.4804392534</v>
      </c>
      <c r="R23">
        <v>2</v>
      </c>
      <c r="S23" s="4">
        <v>0</v>
      </c>
      <c r="T23">
        <f t="shared" si="0"/>
        <v>17436.892018794315</v>
      </c>
      <c r="U23">
        <f t="shared" si="1"/>
        <v>-17434.892018794315</v>
      </c>
      <c r="V23">
        <v>1278310.0296846528</v>
      </c>
      <c r="W23">
        <v>1</v>
      </c>
      <c r="X23">
        <v>1261311.5017961578</v>
      </c>
      <c r="Y23">
        <v>2</v>
      </c>
      <c r="Z23">
        <f t="shared" si="2"/>
        <v>1.6017577483658112E-2</v>
      </c>
    </row>
    <row r="24" spans="1:26" x14ac:dyDescent="0.3">
      <c r="A24">
        <v>20220106</v>
      </c>
      <c r="B24" s="5">
        <v>44567</v>
      </c>
      <c r="C24">
        <v>979390.21242132294</v>
      </c>
      <c r="D24">
        <v>989589.78879999998</v>
      </c>
      <c r="E24" s="5">
        <v>44567</v>
      </c>
      <c r="F24" s="4">
        <v>20220106</v>
      </c>
      <c r="G24" s="5"/>
      <c r="H24" s="4">
        <v>996587.51619999798</v>
      </c>
      <c r="I24" s="4">
        <v>1063435.8940399981</v>
      </c>
      <c r="J24" s="4">
        <v>1096834.06314</v>
      </c>
      <c r="K24">
        <v>1085089.141099998</v>
      </c>
      <c r="L24" s="4">
        <v>995641.75573999994</v>
      </c>
      <c r="M24" s="4">
        <v>998971.42423999798</v>
      </c>
      <c r="N24" s="4">
        <v>999126.19411999988</v>
      </c>
      <c r="O24" s="4">
        <v>1101447.1699399981</v>
      </c>
      <c r="P24" s="4">
        <v>1210703.3719599999</v>
      </c>
      <c r="Q24">
        <v>1097877.6441779325</v>
      </c>
      <c r="R24">
        <v>2</v>
      </c>
      <c r="S24" s="4">
        <v>0</v>
      </c>
      <c r="T24">
        <f t="shared" si="0"/>
        <v>-9924.8362613208592</v>
      </c>
      <c r="U24">
        <f t="shared" si="1"/>
        <v>9926.8362613208592</v>
      </c>
      <c r="V24">
        <v>1266510.0003264342</v>
      </c>
      <c r="W24">
        <v>3</v>
      </c>
      <c r="X24">
        <v>1250011.6540792855</v>
      </c>
      <c r="Y24">
        <v>2</v>
      </c>
      <c r="Z24">
        <f t="shared" si="2"/>
        <v>-8.9588081142373752E-3</v>
      </c>
    </row>
    <row r="25" spans="1:26" x14ac:dyDescent="0.3">
      <c r="A25">
        <v>20220107</v>
      </c>
      <c r="B25" s="5">
        <v>44568</v>
      </c>
      <c r="C25">
        <v>983776.90118275827</v>
      </c>
      <c r="D25">
        <v>993188.40419999894</v>
      </c>
      <c r="E25" s="5">
        <v>44568</v>
      </c>
      <c r="F25" s="4">
        <v>20220107</v>
      </c>
      <c r="G25" s="5"/>
      <c r="H25" s="4">
        <v>1001183.405319998</v>
      </c>
      <c r="I25" s="4">
        <v>1069572.960779998</v>
      </c>
      <c r="J25" s="4">
        <v>1099103.8648000001</v>
      </c>
      <c r="K25">
        <v>1078264.584559998</v>
      </c>
      <c r="L25" s="4">
        <v>1000596.9579399999</v>
      </c>
      <c r="M25" s="4">
        <v>1000059.784619998</v>
      </c>
      <c r="N25" s="4">
        <v>1001786.215639998</v>
      </c>
      <c r="O25" s="4">
        <v>1094144.783039998</v>
      </c>
      <c r="P25" s="4">
        <v>1244959.52302</v>
      </c>
      <c r="Q25">
        <v>1138114.7843120417</v>
      </c>
      <c r="R25">
        <v>1</v>
      </c>
      <c r="S25" s="4">
        <v>0</v>
      </c>
      <c r="T25">
        <f t="shared" si="0"/>
        <v>40237.140134109184</v>
      </c>
      <c r="U25">
        <f t="shared" si="1"/>
        <v>-40236.140134109184</v>
      </c>
      <c r="V25">
        <v>1298963.7911131068</v>
      </c>
      <c r="W25">
        <v>3</v>
      </c>
      <c r="X25">
        <v>1295821.3325026596</v>
      </c>
      <c r="Y25">
        <v>2</v>
      </c>
      <c r="Z25">
        <f t="shared" si="2"/>
        <v>3.6647401065325255E-2</v>
      </c>
    </row>
    <row r="26" spans="1:26" x14ac:dyDescent="0.3">
      <c r="A26">
        <v>20220110</v>
      </c>
      <c r="B26" s="5">
        <v>44571</v>
      </c>
      <c r="C26">
        <v>974364.12379224156</v>
      </c>
      <c r="D26">
        <v>985419.90079999994</v>
      </c>
      <c r="E26" s="5">
        <v>44571</v>
      </c>
      <c r="F26" s="4">
        <v>20220110</v>
      </c>
      <c r="G26" s="5"/>
      <c r="H26" s="4">
        <v>983500.30265999993</v>
      </c>
      <c r="I26" s="4">
        <v>1053793.7612799979</v>
      </c>
      <c r="J26" s="4">
        <v>1095474.77462</v>
      </c>
      <c r="K26">
        <v>1059975.916499998</v>
      </c>
      <c r="L26" s="4">
        <v>990930.55020000006</v>
      </c>
      <c r="M26" s="4">
        <v>995328.75821999798</v>
      </c>
      <c r="N26" s="4">
        <v>990691.82317999995</v>
      </c>
      <c r="O26" s="4">
        <v>1079392.763499998</v>
      </c>
      <c r="P26" s="4">
        <v>1228405.95276</v>
      </c>
      <c r="Q26">
        <v>1138114.7843120417</v>
      </c>
      <c r="R26">
        <v>0</v>
      </c>
      <c r="S26" s="4">
        <v>0</v>
      </c>
      <c r="T26">
        <f t="shared" si="0"/>
        <v>0</v>
      </c>
      <c r="U26">
        <f t="shared" si="1"/>
        <v>0</v>
      </c>
      <c r="V26">
        <v>1282996.0796701999</v>
      </c>
      <c r="W26">
        <v>3</v>
      </c>
      <c r="X26">
        <v>1282093.1004390358</v>
      </c>
      <c r="Y26">
        <v>2</v>
      </c>
      <c r="Z26">
        <f t="shared" si="2"/>
        <v>-1.0594232182541775E-2</v>
      </c>
    </row>
    <row r="27" spans="1:26" x14ac:dyDescent="0.3">
      <c r="A27">
        <v>20220111</v>
      </c>
      <c r="B27" s="5">
        <v>44572</v>
      </c>
      <c r="C27">
        <v>984057.0980957268</v>
      </c>
      <c r="D27">
        <v>993135.21489999897</v>
      </c>
      <c r="E27" s="5">
        <v>44572</v>
      </c>
      <c r="F27" s="4">
        <v>20220111</v>
      </c>
      <c r="G27" s="5"/>
      <c r="H27" s="4">
        <v>976138.47023999807</v>
      </c>
      <c r="I27" s="4">
        <v>1067202.156599998</v>
      </c>
      <c r="J27" s="4">
        <v>1096268.4883999999</v>
      </c>
      <c r="K27">
        <v>1082199.7649799981</v>
      </c>
      <c r="L27" s="4">
        <v>1004760.88948</v>
      </c>
      <c r="M27" s="4">
        <v>1004426.107159998</v>
      </c>
      <c r="N27" s="4">
        <v>998895.24193999986</v>
      </c>
      <c r="O27" s="4">
        <v>1089847.8371999981</v>
      </c>
      <c r="P27" s="4">
        <v>1242232.8610999999</v>
      </c>
      <c r="Q27">
        <v>1138114.7843120417</v>
      </c>
      <c r="R27">
        <v>0</v>
      </c>
      <c r="S27" s="4">
        <v>0</v>
      </c>
      <c r="T27">
        <f t="shared" si="0"/>
        <v>0</v>
      </c>
      <c r="U27">
        <f t="shared" si="1"/>
        <v>0</v>
      </c>
      <c r="V27">
        <v>1293445.9920951792</v>
      </c>
      <c r="W27">
        <v>3</v>
      </c>
      <c r="X27">
        <v>1294948.8737003703</v>
      </c>
      <c r="Y27">
        <v>2</v>
      </c>
      <c r="Z27">
        <f t="shared" si="2"/>
        <v>1.0027176073977954E-2</v>
      </c>
    </row>
    <row r="28" spans="1:26" x14ac:dyDescent="0.3">
      <c r="A28">
        <v>20220112</v>
      </c>
      <c r="B28" s="5">
        <v>44573</v>
      </c>
      <c r="C28">
        <v>967863.45448946359</v>
      </c>
      <c r="D28">
        <v>984220.56400000001</v>
      </c>
      <c r="E28" s="5">
        <v>44573</v>
      </c>
      <c r="F28" s="4">
        <v>20220112</v>
      </c>
      <c r="G28" s="5"/>
      <c r="H28" s="4">
        <v>967726.31171999802</v>
      </c>
      <c r="I28" s="4">
        <v>1058006.813459998</v>
      </c>
      <c r="J28" s="4">
        <v>1086246.73548</v>
      </c>
      <c r="K28">
        <v>1055667.063799998</v>
      </c>
      <c r="L28" s="4">
        <v>985493.07251999993</v>
      </c>
      <c r="M28" s="4">
        <v>984078.76695999806</v>
      </c>
      <c r="N28" s="4">
        <v>988066.70211999991</v>
      </c>
      <c r="O28" s="4">
        <v>1080453.7119599979</v>
      </c>
      <c r="P28" s="4">
        <v>1231525.3294800001</v>
      </c>
      <c r="Q28">
        <v>1134573.6089411664</v>
      </c>
      <c r="R28">
        <v>2</v>
      </c>
      <c r="S28" s="4">
        <v>0</v>
      </c>
      <c r="T28">
        <f t="shared" si="0"/>
        <v>-3541.1753708752804</v>
      </c>
      <c r="U28">
        <f t="shared" si="1"/>
        <v>3543.1753708752804</v>
      </c>
      <c r="V28">
        <v>1293445.9920951792</v>
      </c>
      <c r="W28">
        <v>0</v>
      </c>
      <c r="X28">
        <v>1290919.7972064053</v>
      </c>
      <c r="Y28">
        <v>2</v>
      </c>
      <c r="Z28">
        <f t="shared" si="2"/>
        <v>-3.1113788164097494E-3</v>
      </c>
    </row>
    <row r="29" spans="1:26" x14ac:dyDescent="0.3">
      <c r="A29">
        <v>20220113</v>
      </c>
      <c r="B29" s="5">
        <v>44574</v>
      </c>
      <c r="C29">
        <v>959890.19535137934</v>
      </c>
      <c r="D29">
        <v>990649.01</v>
      </c>
      <c r="E29" s="5">
        <v>44574</v>
      </c>
      <c r="F29" s="4">
        <v>20220113</v>
      </c>
      <c r="G29" s="5"/>
      <c r="H29" s="4">
        <v>963974.16137999797</v>
      </c>
      <c r="I29" s="4">
        <v>1083551.8249199982</v>
      </c>
      <c r="J29" s="4">
        <v>1136769.6648200001</v>
      </c>
      <c r="K29">
        <v>1054003.5230599982</v>
      </c>
      <c r="L29" s="4">
        <v>1003038.09818</v>
      </c>
      <c r="M29" s="4">
        <v>1005151.419379998</v>
      </c>
      <c r="N29" s="4">
        <v>998106.16006000002</v>
      </c>
      <c r="O29" s="4">
        <v>1109092.8369599979</v>
      </c>
      <c r="P29" s="4">
        <v>1208458.0395</v>
      </c>
      <c r="Q29">
        <v>1116227.6856505657</v>
      </c>
      <c r="R29">
        <v>1</v>
      </c>
      <c r="S29" s="4">
        <v>0</v>
      </c>
      <c r="T29">
        <f t="shared" si="0"/>
        <v>-18345.923290600767</v>
      </c>
      <c r="U29">
        <f t="shared" si="1"/>
        <v>18346.923290600767</v>
      </c>
      <c r="V29">
        <v>1293445.9920951792</v>
      </c>
      <c r="W29">
        <v>0</v>
      </c>
      <c r="X29">
        <v>1270046.016246062</v>
      </c>
      <c r="Y29">
        <v>2</v>
      </c>
      <c r="Z29">
        <f t="shared" si="2"/>
        <v>-1.6169696216228838E-2</v>
      </c>
    </row>
    <row r="30" spans="1:26" x14ac:dyDescent="0.3">
      <c r="A30">
        <v>20220114</v>
      </c>
      <c r="B30" s="5">
        <v>44575</v>
      </c>
      <c r="C30">
        <v>968108.77520397794</v>
      </c>
      <c r="D30">
        <v>999506.38770000101</v>
      </c>
      <c r="E30" s="5">
        <v>44575</v>
      </c>
      <c r="F30" s="4">
        <v>20220114</v>
      </c>
      <c r="G30" s="5"/>
      <c r="H30" s="4">
        <v>1003784.0796000001</v>
      </c>
      <c r="I30" s="4">
        <v>1137311.1325199981</v>
      </c>
      <c r="J30" s="4">
        <v>1193356.71746</v>
      </c>
      <c r="K30">
        <v>1096583.0179399981</v>
      </c>
      <c r="L30" s="4">
        <v>1016358.1127000001</v>
      </c>
      <c r="M30" s="4">
        <v>1019512.697679998</v>
      </c>
      <c r="N30" s="4">
        <v>1007819.66888</v>
      </c>
      <c r="O30" s="4">
        <v>1182252.619359998</v>
      </c>
      <c r="P30" s="4">
        <v>1270859.38962</v>
      </c>
      <c r="Q30">
        <v>1225736.927960125</v>
      </c>
      <c r="R30">
        <v>1</v>
      </c>
      <c r="S30" s="4">
        <v>0</v>
      </c>
      <c r="T30">
        <f t="shared" si="0"/>
        <v>109509.24230955937</v>
      </c>
      <c r="U30">
        <f t="shared" si="1"/>
        <v>-109508.24230955937</v>
      </c>
      <c r="V30">
        <v>1420341.3913478553</v>
      </c>
      <c r="W30">
        <v>1</v>
      </c>
      <c r="X30">
        <v>1330570.3808772715</v>
      </c>
      <c r="Y30">
        <v>2</v>
      </c>
      <c r="Z30">
        <f t="shared" si="2"/>
        <v>4.765525331917058E-2</v>
      </c>
    </row>
    <row r="31" spans="1:26" x14ac:dyDescent="0.3">
      <c r="A31">
        <v>20220117</v>
      </c>
      <c r="B31" s="5">
        <v>44578</v>
      </c>
      <c r="C31">
        <v>977449.08866714593</v>
      </c>
      <c r="D31">
        <v>1010784.2947</v>
      </c>
      <c r="E31" s="5">
        <v>44578</v>
      </c>
      <c r="F31" s="4">
        <v>20220117</v>
      </c>
      <c r="G31" s="5"/>
      <c r="H31" s="4">
        <v>993717.65236000007</v>
      </c>
      <c r="I31" s="4">
        <v>1134314.3281799979</v>
      </c>
      <c r="J31" s="4">
        <v>1153525.28134</v>
      </c>
      <c r="K31">
        <v>1101693.6615599981</v>
      </c>
      <c r="L31" s="4">
        <v>1028831.81306</v>
      </c>
      <c r="M31" s="4">
        <v>1032332.1751399981</v>
      </c>
      <c r="N31" s="4">
        <v>1024179.1915</v>
      </c>
      <c r="O31" s="4">
        <v>1160242.547219998</v>
      </c>
      <c r="P31" s="4">
        <v>1294010.1946399999</v>
      </c>
      <c r="Q31">
        <v>1181979.3307727631</v>
      </c>
      <c r="R31">
        <v>1</v>
      </c>
      <c r="S31" s="4">
        <v>0</v>
      </c>
      <c r="T31">
        <f t="shared" si="0"/>
        <v>-43757.597187361913</v>
      </c>
      <c r="U31">
        <f t="shared" si="1"/>
        <v>43758.597187361913</v>
      </c>
      <c r="V31">
        <v>1369636.5749916341</v>
      </c>
      <c r="W31">
        <v>1</v>
      </c>
      <c r="X31">
        <v>1371446.9926538274</v>
      </c>
      <c r="Y31">
        <v>2</v>
      </c>
      <c r="Z31">
        <f t="shared" si="2"/>
        <v>3.0721119577008113E-2</v>
      </c>
    </row>
    <row r="32" spans="1:26" x14ac:dyDescent="0.3">
      <c r="A32">
        <v>20220118</v>
      </c>
      <c r="B32" s="5">
        <v>44579</v>
      </c>
      <c r="C32">
        <v>970738.9006734459</v>
      </c>
      <c r="D32">
        <v>1007429.9453</v>
      </c>
      <c r="E32" s="5">
        <v>44579</v>
      </c>
      <c r="F32" s="4">
        <v>20220118</v>
      </c>
      <c r="G32" s="5" t="s">
        <v>8</v>
      </c>
      <c r="H32" s="4">
        <v>988218.99494</v>
      </c>
      <c r="I32" s="4">
        <v>1119619.207939998</v>
      </c>
      <c r="J32" s="4">
        <v>1149474.9119000002</v>
      </c>
      <c r="K32">
        <v>1078021.7430199981</v>
      </c>
      <c r="L32" s="4">
        <v>1022274.4142400001</v>
      </c>
      <c r="M32" s="4">
        <v>1024674.365359998</v>
      </c>
      <c r="N32" s="4">
        <v>1023386.5712400001</v>
      </c>
      <c r="O32" s="4">
        <v>1142782.0331399979</v>
      </c>
      <c r="P32" s="4">
        <v>1314456.79262</v>
      </c>
      <c r="Q32">
        <v>1182487.4373903731</v>
      </c>
      <c r="R32">
        <v>1</v>
      </c>
      <c r="S32" s="4">
        <v>0</v>
      </c>
      <c r="T32">
        <f t="shared" si="0"/>
        <v>508.10661760997027</v>
      </c>
      <c r="U32">
        <f t="shared" si="1"/>
        <v>-507.10661760997027</v>
      </c>
      <c r="V32">
        <v>1370225.3512608756</v>
      </c>
      <c r="W32">
        <v>1</v>
      </c>
      <c r="X32">
        <v>1370705.4298244603</v>
      </c>
      <c r="Y32">
        <v>2</v>
      </c>
      <c r="Z32">
        <f t="shared" si="2"/>
        <v>-5.4071563344358794E-4</v>
      </c>
    </row>
    <row r="33" spans="1:26" x14ac:dyDescent="0.3">
      <c r="A33">
        <v>20220119</v>
      </c>
      <c r="B33" s="5">
        <v>44580</v>
      </c>
      <c r="C33">
        <v>979482.34595181164</v>
      </c>
      <c r="D33">
        <v>995523.99130000104</v>
      </c>
      <c r="E33" s="5">
        <v>44580</v>
      </c>
      <c r="F33" s="4">
        <v>20220119</v>
      </c>
      <c r="G33" s="5"/>
      <c r="H33" s="4">
        <v>953561.59250000003</v>
      </c>
      <c r="I33" s="4">
        <v>1101802.747479998</v>
      </c>
      <c r="J33" s="4">
        <v>1104674.4604199999</v>
      </c>
      <c r="K33">
        <v>1040188.2875399981</v>
      </c>
      <c r="L33" s="4">
        <v>1007716.7452199999</v>
      </c>
      <c r="M33" s="4">
        <v>1009841.839439998</v>
      </c>
      <c r="N33" s="4">
        <v>1008945.5337200001</v>
      </c>
      <c r="O33" s="4">
        <v>1115843.770899998</v>
      </c>
      <c r="P33" s="4">
        <v>1283467.8172599999</v>
      </c>
      <c r="Q33">
        <v>1182487.4373903731</v>
      </c>
      <c r="R33">
        <v>0</v>
      </c>
      <c r="S33" s="4">
        <v>0</v>
      </c>
      <c r="T33">
        <f t="shared" si="0"/>
        <v>0</v>
      </c>
      <c r="U33">
        <f t="shared" si="1"/>
        <v>0</v>
      </c>
      <c r="V33">
        <v>1319282.3260063122</v>
      </c>
      <c r="W33">
        <v>3</v>
      </c>
      <c r="X33">
        <v>1309355.1049879454</v>
      </c>
      <c r="Y33">
        <v>2</v>
      </c>
      <c r="Z33">
        <f t="shared" si="2"/>
        <v>-4.4758212451505158E-2</v>
      </c>
    </row>
    <row r="34" spans="1:26" x14ac:dyDescent="0.3">
      <c r="A34">
        <v>20220120</v>
      </c>
      <c r="B34" s="5">
        <v>44581</v>
      </c>
      <c r="C34">
        <v>970492.65698066598</v>
      </c>
      <c r="D34">
        <v>979359.09440000099</v>
      </c>
      <c r="E34" s="5">
        <v>44581</v>
      </c>
      <c r="F34" s="4">
        <v>20220120</v>
      </c>
      <c r="G34" s="5"/>
      <c r="H34" s="4">
        <v>932457.32533999998</v>
      </c>
      <c r="I34" s="4">
        <v>1067645.419659998</v>
      </c>
      <c r="J34" s="4">
        <v>1088527.3336799999</v>
      </c>
      <c r="K34">
        <v>999462.98141999799</v>
      </c>
      <c r="L34" s="4">
        <v>990392.50869999989</v>
      </c>
      <c r="M34" s="4">
        <v>993463.88397999795</v>
      </c>
      <c r="N34" s="4">
        <v>988034.64064000011</v>
      </c>
      <c r="O34" s="4">
        <v>1093365.5024799979</v>
      </c>
      <c r="P34" s="4">
        <v>1212738.8016199979</v>
      </c>
      <c r="Q34">
        <v>1182487.4373903731</v>
      </c>
      <c r="R34">
        <v>0</v>
      </c>
      <c r="S34" s="4">
        <v>0</v>
      </c>
      <c r="T34">
        <f t="shared" si="0"/>
        <v>0</v>
      </c>
      <c r="U34">
        <f t="shared" si="1"/>
        <v>0</v>
      </c>
      <c r="V34">
        <v>1255555.8789071494</v>
      </c>
      <c r="W34">
        <v>3</v>
      </c>
      <c r="X34">
        <v>1245898.1112237526</v>
      </c>
      <c r="Y34">
        <v>2</v>
      </c>
      <c r="Z34">
        <f t="shared" si="2"/>
        <v>-4.8464311570219153E-2</v>
      </c>
    </row>
    <row r="35" spans="1:26" x14ac:dyDescent="0.3">
      <c r="A35">
        <v>20220121</v>
      </c>
      <c r="B35" s="5">
        <v>44582</v>
      </c>
      <c r="C35">
        <v>971984.30419444514</v>
      </c>
      <c r="D35">
        <v>987938.43680000096</v>
      </c>
      <c r="E35" s="5">
        <v>44582</v>
      </c>
      <c r="F35" s="4">
        <v>20220121</v>
      </c>
      <c r="G35" s="5"/>
      <c r="H35" s="4">
        <v>928224.39034000004</v>
      </c>
      <c r="I35" s="4">
        <v>1077393.1189199979</v>
      </c>
      <c r="J35" s="4">
        <v>1115481.0315999999</v>
      </c>
      <c r="K35">
        <v>1009333.0103999979</v>
      </c>
      <c r="L35" s="4">
        <v>1002054.47844</v>
      </c>
      <c r="M35" s="4">
        <v>1005209.108199998</v>
      </c>
      <c r="N35" s="4">
        <v>997910.4513800001</v>
      </c>
      <c r="O35" s="4">
        <v>1093849.610759998</v>
      </c>
      <c r="P35" s="4">
        <v>1231287.6788799982</v>
      </c>
      <c r="Q35">
        <v>1218146.7424696786</v>
      </c>
      <c r="R35">
        <v>1</v>
      </c>
      <c r="S35" s="4">
        <v>0</v>
      </c>
      <c r="T35">
        <f t="shared" si="0"/>
        <v>35659.305079305544</v>
      </c>
      <c r="U35">
        <f t="shared" si="1"/>
        <v>-35658.305079305544</v>
      </c>
      <c r="V35">
        <v>1268586.2804540722</v>
      </c>
      <c r="W35">
        <v>3</v>
      </c>
      <c r="X35">
        <v>1283469.2221790659</v>
      </c>
      <c r="Y35">
        <v>1</v>
      </c>
      <c r="Z35">
        <f t="shared" si="2"/>
        <v>3.0155845503618283E-2</v>
      </c>
    </row>
    <row r="36" spans="1:26" x14ac:dyDescent="0.3">
      <c r="A36">
        <v>20220124</v>
      </c>
      <c r="B36" s="5">
        <v>44585</v>
      </c>
      <c r="C36">
        <v>949980.52351609129</v>
      </c>
      <c r="D36">
        <v>970159.14599999995</v>
      </c>
      <c r="E36" s="5">
        <v>44585</v>
      </c>
      <c r="F36" s="4">
        <v>20220124</v>
      </c>
      <c r="G36" s="5"/>
      <c r="H36" s="4">
        <v>911246.58025999996</v>
      </c>
      <c r="I36" s="4">
        <v>1069975.0056199981</v>
      </c>
      <c r="J36" s="4">
        <v>1099991.2686600001</v>
      </c>
      <c r="K36">
        <v>966407.74125999806</v>
      </c>
      <c r="L36" s="4">
        <v>982350.53059999994</v>
      </c>
      <c r="M36" s="4">
        <v>984220.57518000004</v>
      </c>
      <c r="N36" s="4">
        <v>977269.59696</v>
      </c>
      <c r="O36" s="4">
        <v>1084249.3354999979</v>
      </c>
      <c r="P36" s="4">
        <v>1171200.3958199979</v>
      </c>
      <c r="Q36">
        <v>1160531.8976229888</v>
      </c>
      <c r="R36">
        <v>2</v>
      </c>
      <c r="S36" s="4">
        <v>0</v>
      </c>
      <c r="T36">
        <f t="shared" si="0"/>
        <v>-57614.844846689841</v>
      </c>
      <c r="U36">
        <f t="shared" si="1"/>
        <v>57616.844846689841</v>
      </c>
      <c r="V36">
        <v>1268586.2804540722</v>
      </c>
      <c r="W36">
        <v>0</v>
      </c>
      <c r="X36">
        <v>1271637.9252470585</v>
      </c>
      <c r="Y36">
        <v>1</v>
      </c>
      <c r="Z36">
        <f t="shared" si="2"/>
        <v>-9.2182163214793097E-3</v>
      </c>
    </row>
    <row r="37" spans="1:26" x14ac:dyDescent="0.3">
      <c r="A37">
        <v>20220125</v>
      </c>
      <c r="B37" s="5">
        <v>44586</v>
      </c>
      <c r="C37">
        <v>956840.33287640102</v>
      </c>
      <c r="D37">
        <v>975662.8469</v>
      </c>
      <c r="E37" s="5">
        <v>44586</v>
      </c>
      <c r="F37" s="4">
        <v>20220125</v>
      </c>
      <c r="G37" s="5"/>
      <c r="H37" s="4">
        <v>909399.17547999998</v>
      </c>
      <c r="I37" s="4">
        <v>1075197.481059998</v>
      </c>
      <c r="J37" s="4">
        <v>1123303.8367399999</v>
      </c>
      <c r="K37">
        <v>965512.98633999808</v>
      </c>
      <c r="L37" s="4">
        <v>988725.40519999992</v>
      </c>
      <c r="M37" s="4">
        <v>990443.20965999993</v>
      </c>
      <c r="N37" s="4">
        <v>980547.02329999988</v>
      </c>
      <c r="O37" s="4">
        <v>1078310.1255799981</v>
      </c>
      <c r="P37" s="4">
        <v>1166651.370299998</v>
      </c>
      <c r="Q37">
        <v>1160918.522049573</v>
      </c>
      <c r="R37">
        <v>2</v>
      </c>
      <c r="S37" s="4">
        <v>0</v>
      </c>
      <c r="T37">
        <f t="shared" si="0"/>
        <v>386.62442658422515</v>
      </c>
      <c r="U37">
        <f t="shared" si="1"/>
        <v>-384.62442658422515</v>
      </c>
      <c r="V37">
        <v>1268586.2804540722</v>
      </c>
      <c r="W37">
        <v>0</v>
      </c>
      <c r="X37">
        <v>1274028.518492501</v>
      </c>
      <c r="Y37">
        <v>1</v>
      </c>
      <c r="Z37">
        <f t="shared" si="2"/>
        <v>1.8799323282042235E-3</v>
      </c>
    </row>
    <row r="38" spans="1:26" x14ac:dyDescent="0.3">
      <c r="A38">
        <v>20220126</v>
      </c>
      <c r="B38" s="5">
        <v>44587</v>
      </c>
      <c r="C38">
        <v>938056.60030170437</v>
      </c>
      <c r="D38">
        <v>959844.38329999999</v>
      </c>
      <c r="E38" s="5">
        <v>44587</v>
      </c>
      <c r="F38" s="4">
        <v>20220126</v>
      </c>
      <c r="G38" s="5"/>
      <c r="H38" s="4">
        <v>891021.87171999994</v>
      </c>
      <c r="I38" s="4">
        <v>1053319.0205799979</v>
      </c>
      <c r="J38" s="4">
        <v>1124766.1817600001</v>
      </c>
      <c r="K38">
        <v>944682.26345999795</v>
      </c>
      <c r="L38" s="4">
        <v>968118.27480000001</v>
      </c>
      <c r="M38" s="4">
        <v>966322.7021600001</v>
      </c>
      <c r="N38" s="4">
        <v>958981.02119999996</v>
      </c>
      <c r="O38" s="4">
        <v>1044761.1038399979</v>
      </c>
      <c r="P38" s="4">
        <v>1147046.0609399979</v>
      </c>
      <c r="Q38">
        <v>1160918.522049573</v>
      </c>
      <c r="R38">
        <v>0</v>
      </c>
      <c r="S38" s="4">
        <v>0</v>
      </c>
      <c r="T38">
        <f t="shared" si="0"/>
        <v>0</v>
      </c>
      <c r="U38">
        <f t="shared" si="1"/>
        <v>0</v>
      </c>
      <c r="V38">
        <v>1277241.5450700352</v>
      </c>
      <c r="W38">
        <v>1</v>
      </c>
      <c r="X38">
        <v>1282720.8348065265</v>
      </c>
      <c r="Y38">
        <v>1</v>
      </c>
      <c r="Z38">
        <f t="shared" si="2"/>
        <v>6.8227015234405934E-3</v>
      </c>
    </row>
    <row r="39" spans="1:26" x14ac:dyDescent="0.3">
      <c r="A39">
        <v>20220127</v>
      </c>
      <c r="B39" s="5">
        <v>44588</v>
      </c>
      <c r="C39">
        <v>926649.83204203565</v>
      </c>
      <c r="D39">
        <v>958227.05909999995</v>
      </c>
      <c r="E39" s="5">
        <v>44588</v>
      </c>
      <c r="F39" s="4">
        <v>20220127</v>
      </c>
      <c r="G39" s="5"/>
      <c r="H39" s="4">
        <v>883565.67874</v>
      </c>
      <c r="I39" s="4">
        <v>1044504.677619998</v>
      </c>
      <c r="J39" s="4">
        <v>1134789.5418799999</v>
      </c>
      <c r="K39">
        <v>931397.19383999798</v>
      </c>
      <c r="L39" s="4">
        <v>965039.47601999994</v>
      </c>
      <c r="M39" s="4">
        <v>963267.01053999795</v>
      </c>
      <c r="N39" s="4">
        <v>950086.40957999998</v>
      </c>
      <c r="O39" s="4">
        <v>1041981.437019998</v>
      </c>
      <c r="P39" s="4">
        <v>1149979.8429799979</v>
      </c>
      <c r="Q39">
        <v>1147452.4597080466</v>
      </c>
      <c r="R39">
        <v>1</v>
      </c>
      <c r="S39" s="4">
        <v>0</v>
      </c>
      <c r="T39">
        <f t="shared" si="0"/>
        <v>-13466.062341526384</v>
      </c>
      <c r="U39">
        <f t="shared" si="1"/>
        <v>13467.062341526384</v>
      </c>
      <c r="V39">
        <v>1262426.1859210192</v>
      </c>
      <c r="W39">
        <v>1</v>
      </c>
      <c r="X39">
        <v>1267841.9441435258</v>
      </c>
      <c r="Y39">
        <v>1</v>
      </c>
      <c r="Z39">
        <f t="shared" si="2"/>
        <v>-1.1599476877012719E-2</v>
      </c>
    </row>
    <row r="40" spans="1:26" x14ac:dyDescent="0.3">
      <c r="A40">
        <v>20220128</v>
      </c>
      <c r="B40" s="5">
        <v>44589</v>
      </c>
      <c r="C40">
        <v>940912.82625682675</v>
      </c>
      <c r="D40">
        <v>959883.72699999996</v>
      </c>
      <c r="E40" s="5">
        <v>44589</v>
      </c>
      <c r="G40" s="5"/>
      <c r="H40" s="4">
        <v>899710.35057999997</v>
      </c>
      <c r="I40" s="4">
        <v>1050188.4892399979</v>
      </c>
      <c r="J40" s="4">
        <v>1154368.46416</v>
      </c>
      <c r="K40">
        <v>917100.92171999789</v>
      </c>
      <c r="L40" s="4">
        <v>967109.10387999995</v>
      </c>
      <c r="M40" s="4">
        <v>963192.03247999796</v>
      </c>
      <c r="N40" s="4">
        <v>955549.54316000012</v>
      </c>
      <c r="O40" s="4">
        <v>1065594.5964399981</v>
      </c>
      <c r="P40" s="4">
        <v>1193820.0038799981</v>
      </c>
      <c r="Q40">
        <v>1167069.7635574692</v>
      </c>
      <c r="R40">
        <v>1</v>
      </c>
      <c r="S40" s="4">
        <v>0</v>
      </c>
      <c r="T40">
        <f t="shared" si="0"/>
        <v>19617.303849422606</v>
      </c>
      <c r="U40">
        <f t="shared" si="1"/>
        <v>-19616.303849422606</v>
      </c>
      <c r="V40">
        <v>1284009.1289533828</v>
      </c>
      <c r="W40">
        <v>1</v>
      </c>
      <c r="X40">
        <v>1289517.285555627</v>
      </c>
      <c r="Y40">
        <v>1</v>
      </c>
      <c r="Z40">
        <f t="shared" si="2"/>
        <v>1.7096248875678007E-2</v>
      </c>
    </row>
    <row r="41" spans="1:26" x14ac:dyDescent="0.3">
      <c r="A41">
        <v>20220207</v>
      </c>
      <c r="B41" s="5">
        <v>44599</v>
      </c>
      <c r="C41">
        <v>935757.56488176552</v>
      </c>
      <c r="D41">
        <v>969752.41319999995</v>
      </c>
      <c r="E41" s="5">
        <v>44599</v>
      </c>
      <c r="F41" s="4">
        <v>20220207</v>
      </c>
      <c r="G41" s="5"/>
      <c r="H41" s="4">
        <v>920554.51857999992</v>
      </c>
      <c r="I41" s="4">
        <v>1070091.439899998</v>
      </c>
      <c r="J41" s="4">
        <v>1158783.24652</v>
      </c>
      <c r="K41">
        <v>943994.81975999789</v>
      </c>
      <c r="L41" s="4">
        <v>973711.37579999992</v>
      </c>
      <c r="M41" s="4">
        <v>969672.87515999994</v>
      </c>
      <c r="N41" s="4">
        <v>964247.07452000002</v>
      </c>
      <c r="O41" s="4">
        <v>1085338.563119998</v>
      </c>
      <c r="P41" s="4">
        <v>1202363.0362599981</v>
      </c>
      <c r="Q41">
        <v>1189317.3282640602</v>
      </c>
      <c r="R41">
        <v>1</v>
      </c>
      <c r="S41" s="4">
        <v>0</v>
      </c>
      <c r="T41">
        <f t="shared" si="0"/>
        <v>22247.564706590958</v>
      </c>
      <c r="U41">
        <f t="shared" si="1"/>
        <v>-22246.564706590958</v>
      </c>
      <c r="V41">
        <v>1308485.8777334357</v>
      </c>
      <c r="W41">
        <v>1</v>
      </c>
      <c r="X41">
        <v>1314098.923930808</v>
      </c>
      <c r="Y41">
        <v>1</v>
      </c>
      <c r="Z41">
        <f t="shared" si="2"/>
        <v>1.9062666821553519E-2</v>
      </c>
    </row>
    <row r="42" spans="1:26" x14ac:dyDescent="0.3">
      <c r="A42">
        <v>20220208</v>
      </c>
      <c r="B42" s="5">
        <v>44600</v>
      </c>
      <c r="C42">
        <v>944532.16356766189</v>
      </c>
      <c r="D42">
        <v>984627.87820000004</v>
      </c>
      <c r="E42" s="5">
        <v>44600</v>
      </c>
      <c r="F42" s="4">
        <v>20220208</v>
      </c>
      <c r="G42" s="5"/>
      <c r="H42" s="4">
        <v>950813.60210000002</v>
      </c>
      <c r="I42" s="4">
        <v>1128121.004899998</v>
      </c>
      <c r="J42" s="4">
        <v>1156264.1052999999</v>
      </c>
      <c r="K42">
        <v>972267.99583999789</v>
      </c>
      <c r="L42" s="4">
        <v>991166.82185999991</v>
      </c>
      <c r="M42" s="4">
        <v>986291.62448</v>
      </c>
      <c r="N42" s="4">
        <v>984506.73543999996</v>
      </c>
      <c r="O42" s="4">
        <v>1107919.8268399979</v>
      </c>
      <c r="P42" s="4">
        <v>1259143.3245999999</v>
      </c>
      <c r="Q42">
        <v>1269498.5346217344</v>
      </c>
      <c r="R42">
        <v>2</v>
      </c>
      <c r="S42" s="4">
        <v>0</v>
      </c>
      <c r="T42">
        <f t="shared" si="0"/>
        <v>80181.206357674208</v>
      </c>
      <c r="U42">
        <f t="shared" si="1"/>
        <v>-80179.206357674208</v>
      </c>
      <c r="V42">
        <v>1376593.2204748038</v>
      </c>
      <c r="W42">
        <v>3</v>
      </c>
      <c r="X42">
        <v>1362375.5099903899</v>
      </c>
      <c r="Y42">
        <v>1</v>
      </c>
      <c r="Z42">
        <f t="shared" si="2"/>
        <v>3.6737406279258082E-2</v>
      </c>
    </row>
    <row r="43" spans="1:26" x14ac:dyDescent="0.3">
      <c r="A43">
        <v>20220209</v>
      </c>
      <c r="B43" s="5">
        <v>44601</v>
      </c>
      <c r="C43">
        <v>942040.48772017041</v>
      </c>
      <c r="D43">
        <v>978635.59409999999</v>
      </c>
      <c r="E43" s="5">
        <v>44601</v>
      </c>
      <c r="F43" s="4">
        <v>20220209</v>
      </c>
      <c r="G43" s="5"/>
      <c r="H43" s="4">
        <v>952294.55986000004</v>
      </c>
      <c r="I43" s="4">
        <v>1109668.2774599981</v>
      </c>
      <c r="J43" s="4">
        <v>1162470.2199599999</v>
      </c>
      <c r="K43">
        <v>956608.85003999807</v>
      </c>
      <c r="L43" s="4">
        <v>985215.3708000019</v>
      </c>
      <c r="M43" s="4">
        <v>980347.40856000001</v>
      </c>
      <c r="N43" s="4">
        <v>977904.73005999997</v>
      </c>
      <c r="O43" s="4">
        <v>1094419.0176999981</v>
      </c>
      <c r="P43" s="4">
        <v>1251452.8591199999</v>
      </c>
      <c r="Q43">
        <v>1269498.5346217344</v>
      </c>
      <c r="R43">
        <v>0</v>
      </c>
      <c r="S43" s="4">
        <v>0</v>
      </c>
      <c r="T43">
        <f t="shared" si="0"/>
        <v>0</v>
      </c>
      <c r="U43">
        <f t="shared" si="1"/>
        <v>0</v>
      </c>
      <c r="V43">
        <v>1376593.2204748038</v>
      </c>
      <c r="W43">
        <v>0</v>
      </c>
      <c r="X43">
        <v>1358860.4744598945</v>
      </c>
      <c r="Y43">
        <v>1</v>
      </c>
      <c r="Z43">
        <f t="shared" si="2"/>
        <v>-2.5800783298873687E-3</v>
      </c>
    </row>
    <row r="44" spans="1:26" x14ac:dyDescent="0.3">
      <c r="A44">
        <v>20220210</v>
      </c>
      <c r="B44" s="5">
        <v>44602</v>
      </c>
      <c r="C44">
        <v>934214.95738867891</v>
      </c>
      <c r="D44">
        <v>968048.46569999994</v>
      </c>
      <c r="E44" s="5">
        <v>44602</v>
      </c>
      <c r="F44" s="4">
        <v>20220210</v>
      </c>
      <c r="G44" s="5"/>
      <c r="H44" s="4">
        <v>919822.76574000006</v>
      </c>
      <c r="I44" s="4">
        <v>1071841.5990599981</v>
      </c>
      <c r="J44" s="4">
        <v>1140542.5803999999</v>
      </c>
      <c r="K44">
        <v>935125.90803999803</v>
      </c>
      <c r="L44" s="4">
        <v>973790.61682000197</v>
      </c>
      <c r="M44" s="4">
        <v>969040.83673999994</v>
      </c>
      <c r="N44" s="4">
        <v>966477.8049799999</v>
      </c>
      <c r="O44" s="4">
        <v>1076396.399779998</v>
      </c>
      <c r="P44" s="4">
        <v>1221506.85644</v>
      </c>
      <c r="Q44">
        <v>1269498.5346217344</v>
      </c>
      <c r="R44">
        <v>0</v>
      </c>
      <c r="S44" s="4">
        <v>0</v>
      </c>
      <c r="T44">
        <f t="shared" si="0"/>
        <v>0</v>
      </c>
      <c r="U44">
        <f t="shared" si="1"/>
        <v>0</v>
      </c>
      <c r="V44">
        <v>1353717.411530267</v>
      </c>
      <c r="W44">
        <v>3</v>
      </c>
      <c r="X44">
        <v>1369228.7795057965</v>
      </c>
      <c r="Y44">
        <v>1</v>
      </c>
      <c r="Z44">
        <f t="shared" si="2"/>
        <v>7.630146906747814E-3</v>
      </c>
    </row>
    <row r="45" spans="1:26" x14ac:dyDescent="0.3">
      <c r="A45">
        <v>20220211</v>
      </c>
      <c r="B45" s="5">
        <v>44603</v>
      </c>
      <c r="C45">
        <v>924107.68576469086</v>
      </c>
      <c r="D45">
        <v>968048.46569999994</v>
      </c>
      <c r="E45" s="5">
        <v>44603</v>
      </c>
      <c r="G45" s="5"/>
      <c r="H45" s="4">
        <v>919822.76574000006</v>
      </c>
      <c r="I45" s="4">
        <v>1071841.5990599981</v>
      </c>
      <c r="J45" s="4">
        <v>1140542.5803999999</v>
      </c>
      <c r="K45">
        <v>935125.90803999803</v>
      </c>
      <c r="L45" s="4">
        <v>973790.61682000197</v>
      </c>
      <c r="M45" s="4">
        <v>969040.83673999994</v>
      </c>
      <c r="N45" s="4">
        <v>966477.8049799999</v>
      </c>
      <c r="O45" s="4">
        <v>1076396.399779998</v>
      </c>
      <c r="P45" s="4">
        <v>1221506.85644</v>
      </c>
      <c r="Q45">
        <v>1269498.5346217344</v>
      </c>
      <c r="R45">
        <v>0</v>
      </c>
      <c r="S45" s="4">
        <v>0</v>
      </c>
      <c r="T45">
        <f t="shared" si="0"/>
        <v>0</v>
      </c>
      <c r="U45">
        <f t="shared" si="1"/>
        <v>0</v>
      </c>
      <c r="V45">
        <v>1353717.411530267</v>
      </c>
      <c r="W45">
        <v>0</v>
      </c>
      <c r="X45">
        <v>1369228.7795057965</v>
      </c>
      <c r="Y45">
        <v>0</v>
      </c>
      <c r="Z45">
        <f t="shared" si="2"/>
        <v>0</v>
      </c>
    </row>
    <row r="46" spans="1:26" x14ac:dyDescent="0.3">
      <c r="A46">
        <v>20220214</v>
      </c>
      <c r="B46" s="5">
        <v>44606</v>
      </c>
      <c r="C46">
        <v>933922.63349519763</v>
      </c>
      <c r="D46">
        <v>968048.46569999994</v>
      </c>
      <c r="E46" s="5">
        <v>44606</v>
      </c>
      <c r="G46" s="5"/>
      <c r="H46" s="4">
        <v>919822.76574000006</v>
      </c>
      <c r="I46" s="4">
        <v>1071841.5990599981</v>
      </c>
      <c r="J46" s="4">
        <v>1140542.5803999999</v>
      </c>
      <c r="K46">
        <v>935125.90803999803</v>
      </c>
      <c r="L46" s="4">
        <v>973790.61682000197</v>
      </c>
      <c r="M46" s="4">
        <v>969040.83673999994</v>
      </c>
      <c r="N46" s="4">
        <v>966477.8049799999</v>
      </c>
      <c r="O46" s="4">
        <v>1076396.399779998</v>
      </c>
      <c r="P46" s="4">
        <v>1221506.85644</v>
      </c>
      <c r="Q46">
        <v>1269498.5346217344</v>
      </c>
      <c r="R46">
        <v>0</v>
      </c>
      <c r="S46" s="4">
        <v>0</v>
      </c>
      <c r="T46">
        <f t="shared" si="0"/>
        <v>0</v>
      </c>
      <c r="U46">
        <f t="shared" si="1"/>
        <v>0</v>
      </c>
      <c r="V46">
        <v>1353717.411530267</v>
      </c>
      <c r="W46">
        <v>0</v>
      </c>
      <c r="X46">
        <v>1369228.7795057965</v>
      </c>
      <c r="Y46">
        <v>0</v>
      </c>
      <c r="Z46">
        <f t="shared" si="2"/>
        <v>0</v>
      </c>
    </row>
    <row r="47" spans="1:26" x14ac:dyDescent="0.3">
      <c r="A47">
        <v>20220215</v>
      </c>
      <c r="B47" s="5">
        <v>44607</v>
      </c>
      <c r="C47">
        <v>937538.78193209099</v>
      </c>
      <c r="D47">
        <v>968048.46569999994</v>
      </c>
      <c r="E47" s="5">
        <v>44607</v>
      </c>
      <c r="G47" s="5"/>
      <c r="H47" s="4">
        <v>919822.76574000006</v>
      </c>
      <c r="I47" s="4">
        <v>1071841.5990599981</v>
      </c>
      <c r="J47" s="4">
        <v>1140542.5803999999</v>
      </c>
      <c r="K47">
        <v>935125.90803999803</v>
      </c>
      <c r="L47" s="4">
        <v>973790.61682000197</v>
      </c>
      <c r="M47" s="4">
        <v>969040.83673999994</v>
      </c>
      <c r="N47" s="4">
        <v>966477.8049799999</v>
      </c>
      <c r="O47" s="4">
        <v>1076396.399779998</v>
      </c>
      <c r="P47" s="4">
        <v>1221506.85644</v>
      </c>
      <c r="Q47">
        <v>1269498.5346217344</v>
      </c>
      <c r="R47">
        <v>0</v>
      </c>
      <c r="S47" s="4">
        <v>0</v>
      </c>
      <c r="T47">
        <f t="shared" si="0"/>
        <v>0</v>
      </c>
      <c r="U47">
        <f t="shared" si="1"/>
        <v>0</v>
      </c>
      <c r="V47">
        <v>1353717.411530267</v>
      </c>
      <c r="W47">
        <v>0</v>
      </c>
      <c r="X47">
        <v>1369228.7795057965</v>
      </c>
      <c r="Y47">
        <v>0</v>
      </c>
      <c r="Z47">
        <f t="shared" si="2"/>
        <v>0</v>
      </c>
    </row>
    <row r="48" spans="1:26" x14ac:dyDescent="0.3">
      <c r="A48">
        <v>20220216</v>
      </c>
      <c r="B48" s="5">
        <v>44608</v>
      </c>
      <c r="C48">
        <v>939792.62516385561</v>
      </c>
      <c r="D48">
        <v>966157.05079999997</v>
      </c>
      <c r="E48" s="5">
        <v>44608</v>
      </c>
      <c r="F48" s="4">
        <v>20220216</v>
      </c>
      <c r="G48" s="5"/>
      <c r="H48" s="4">
        <v>927563.32939999993</v>
      </c>
      <c r="I48" s="4">
        <v>1066657.4627599982</v>
      </c>
      <c r="J48" s="4">
        <v>1132905.3997800001</v>
      </c>
      <c r="K48">
        <v>937445.34001999791</v>
      </c>
      <c r="L48" s="4">
        <v>970572.49544000195</v>
      </c>
      <c r="M48" s="4">
        <v>964696.35144</v>
      </c>
      <c r="N48" s="4">
        <v>961875.24462000001</v>
      </c>
      <c r="O48" s="4">
        <v>1041041.049319998</v>
      </c>
      <c r="P48" s="4">
        <v>1214485.83342</v>
      </c>
      <c r="Q48">
        <v>1255195.778444028</v>
      </c>
      <c r="R48">
        <v>1</v>
      </c>
      <c r="S48" s="4">
        <v>0</v>
      </c>
      <c r="T48">
        <f t="shared" si="0"/>
        <v>-14302.756177706411</v>
      </c>
      <c r="U48">
        <f t="shared" si="1"/>
        <v>14303.756177706411</v>
      </c>
      <c r="V48">
        <v>1338465.7950036561</v>
      </c>
      <c r="W48">
        <v>1</v>
      </c>
      <c r="X48">
        <v>1353802.6035717085</v>
      </c>
      <c r="Y48">
        <v>1</v>
      </c>
      <c r="Z48">
        <f t="shared" si="2"/>
        <v>-1.1266324638352846E-2</v>
      </c>
    </row>
    <row r="49" spans="1:26" x14ac:dyDescent="0.3">
      <c r="A49">
        <v>20220217</v>
      </c>
      <c r="B49" s="5">
        <v>44609</v>
      </c>
      <c r="C49">
        <v>944258.51971863431</v>
      </c>
      <c r="D49">
        <v>972918.23239999998</v>
      </c>
      <c r="E49" s="5">
        <v>44609</v>
      </c>
      <c r="F49" s="4">
        <v>20220217</v>
      </c>
      <c r="G49" s="5"/>
      <c r="H49" s="4">
        <v>917674.19605999789</v>
      </c>
      <c r="I49" s="4">
        <v>1060092.587459998</v>
      </c>
      <c r="J49" s="4">
        <v>1141922.3274599998</v>
      </c>
      <c r="K49">
        <v>934762.19839999801</v>
      </c>
      <c r="L49" s="4">
        <v>965141.74642000196</v>
      </c>
      <c r="M49" s="4">
        <v>968179.76769999997</v>
      </c>
      <c r="N49" s="4">
        <v>976377.45358000009</v>
      </c>
      <c r="O49" s="4">
        <v>1031719.494059998</v>
      </c>
      <c r="P49" s="4">
        <v>1211012.27722</v>
      </c>
      <c r="Q49">
        <v>1255195.778444028</v>
      </c>
      <c r="R49">
        <v>0</v>
      </c>
      <c r="S49" s="4">
        <v>0</v>
      </c>
      <c r="T49">
        <f t="shared" si="0"/>
        <v>0</v>
      </c>
      <c r="U49">
        <f t="shared" si="1"/>
        <v>0</v>
      </c>
      <c r="V49">
        <v>1325287.3496819956</v>
      </c>
      <c r="W49">
        <v>3</v>
      </c>
      <c r="X49">
        <v>1348662.4155600071</v>
      </c>
      <c r="Y49">
        <v>1</v>
      </c>
      <c r="Z49">
        <f t="shared" si="2"/>
        <v>-3.7968519178055967E-3</v>
      </c>
    </row>
    <row r="50" spans="1:26" x14ac:dyDescent="0.3">
      <c r="A50">
        <v>20220218</v>
      </c>
      <c r="B50" s="5">
        <v>44610</v>
      </c>
      <c r="C50">
        <v>940808.1990875823</v>
      </c>
      <c r="D50">
        <v>988220.08659999899</v>
      </c>
      <c r="E50" s="5">
        <v>44610</v>
      </c>
      <c r="F50" s="4">
        <v>20220218</v>
      </c>
      <c r="G50" s="5"/>
      <c r="H50" s="4">
        <v>903899.43257999793</v>
      </c>
      <c r="I50" s="4">
        <v>1083569.323859998</v>
      </c>
      <c r="J50" s="4">
        <v>1187989.5164399999</v>
      </c>
      <c r="K50">
        <v>929184.10039999802</v>
      </c>
      <c r="L50" s="4">
        <v>981016.43264000188</v>
      </c>
      <c r="M50" s="4">
        <v>984065.89695999993</v>
      </c>
      <c r="N50" s="4">
        <v>995878.98829999997</v>
      </c>
      <c r="O50" s="4">
        <v>1027358.0584999981</v>
      </c>
      <c r="P50" s="4">
        <v>1218348.7035000001</v>
      </c>
      <c r="Q50">
        <v>1255195.778444028</v>
      </c>
      <c r="R50">
        <v>0</v>
      </c>
      <c r="S50" s="4">
        <v>0</v>
      </c>
      <c r="T50">
        <f t="shared" si="0"/>
        <v>0</v>
      </c>
      <c r="U50">
        <f t="shared" si="1"/>
        <v>0</v>
      </c>
      <c r="V50">
        <v>1325287.3496819956</v>
      </c>
      <c r="W50">
        <v>0</v>
      </c>
      <c r="X50">
        <v>1343975.176564547</v>
      </c>
      <c r="Y50">
        <v>1</v>
      </c>
      <c r="Z50">
        <f t="shared" si="2"/>
        <v>-3.475472395005392E-3</v>
      </c>
    </row>
    <row r="51" spans="1:26" x14ac:dyDescent="0.3">
      <c r="A51">
        <v>20220221</v>
      </c>
      <c r="B51" s="5">
        <v>44613</v>
      </c>
      <c r="C51">
        <v>928579.574115842</v>
      </c>
      <c r="D51">
        <v>980281.33949999895</v>
      </c>
      <c r="E51" s="5">
        <v>44613</v>
      </c>
      <c r="F51" s="4">
        <v>20220221</v>
      </c>
      <c r="G51" s="5"/>
      <c r="H51" s="4">
        <v>891069.38581999799</v>
      </c>
      <c r="I51" s="4">
        <v>1077883.5331399979</v>
      </c>
      <c r="J51" s="4">
        <v>1194620.69408</v>
      </c>
      <c r="K51">
        <v>926140.23675999814</v>
      </c>
      <c r="L51" s="4">
        <v>969760.40566000191</v>
      </c>
      <c r="M51" s="4">
        <v>972821.89646000008</v>
      </c>
      <c r="N51" s="4">
        <v>986742.84771999996</v>
      </c>
      <c r="O51" s="4">
        <v>1025763.2649199979</v>
      </c>
      <c r="P51" s="4">
        <v>1231348.5731599999</v>
      </c>
      <c r="Q51">
        <v>1297440.8864149847</v>
      </c>
      <c r="R51">
        <v>2</v>
      </c>
      <c r="S51" s="4">
        <v>0</v>
      </c>
      <c r="T51">
        <f t="shared" si="0"/>
        <v>42245.107970956713</v>
      </c>
      <c r="U51">
        <f t="shared" si="1"/>
        <v>-42243.107970956713</v>
      </c>
      <c r="V51">
        <v>1369891.6367642432</v>
      </c>
      <c r="W51">
        <v>2</v>
      </c>
      <c r="X51">
        <v>1375811.6380997172</v>
      </c>
      <c r="Y51">
        <v>1</v>
      </c>
      <c r="Z51">
        <f t="shared" si="2"/>
        <v>2.3688280922382943E-2</v>
      </c>
    </row>
    <row r="52" spans="1:26" x14ac:dyDescent="0.3">
      <c r="A52">
        <v>20220222</v>
      </c>
      <c r="B52" s="5">
        <v>44614</v>
      </c>
      <c r="C52">
        <v>938490.30391038046</v>
      </c>
      <c r="D52">
        <v>999174.24099999899</v>
      </c>
      <c r="E52" s="5">
        <v>44614</v>
      </c>
      <c r="F52" s="4">
        <v>20220222</v>
      </c>
      <c r="G52" s="5"/>
      <c r="H52" s="4">
        <v>914513.03905999789</v>
      </c>
      <c r="I52" s="4">
        <v>1112377.9242799999</v>
      </c>
      <c r="J52" s="4">
        <v>1218935.6878200001</v>
      </c>
      <c r="K52">
        <v>966088.24173999799</v>
      </c>
      <c r="L52" s="4">
        <v>998895.56814000197</v>
      </c>
      <c r="M52" s="4">
        <v>994056.05363999994</v>
      </c>
      <c r="N52" s="4">
        <v>1004899.40004</v>
      </c>
      <c r="O52" s="4">
        <v>1037213.3758999979</v>
      </c>
      <c r="P52" s="4">
        <v>1284464.31938</v>
      </c>
      <c r="Q52">
        <v>1328666.7529967872</v>
      </c>
      <c r="R52">
        <v>2</v>
      </c>
      <c r="S52" s="4">
        <v>0</v>
      </c>
      <c r="T52">
        <f t="shared" si="0"/>
        <v>31225.866581802489</v>
      </c>
      <c r="U52">
        <f t="shared" si="1"/>
        <v>-31223.866581802489</v>
      </c>
      <c r="V52">
        <v>1421387.4485814173</v>
      </c>
      <c r="W52">
        <v>1</v>
      </c>
      <c r="X52">
        <v>1427529.4014365182</v>
      </c>
      <c r="Y52">
        <v>1</v>
      </c>
      <c r="Z52">
        <f t="shared" si="2"/>
        <v>3.7590729649760769E-2</v>
      </c>
    </row>
    <row r="53" spans="1:26" x14ac:dyDescent="0.3">
      <c r="A53">
        <v>20220223</v>
      </c>
      <c r="B53" s="5">
        <v>44615</v>
      </c>
      <c r="C53">
        <v>919448.33564403874</v>
      </c>
      <c r="D53">
        <v>985819.52079999901</v>
      </c>
      <c r="E53" s="5">
        <v>44615</v>
      </c>
      <c r="F53" s="4">
        <v>20220223</v>
      </c>
      <c r="G53" s="5"/>
      <c r="H53" s="4">
        <v>887517.10465999809</v>
      </c>
      <c r="I53" s="4">
        <v>1079513.2176399999</v>
      </c>
      <c r="J53" s="4">
        <v>1198780.2034800001</v>
      </c>
      <c r="K53">
        <v>956379.67229999811</v>
      </c>
      <c r="L53" s="4">
        <v>983487.45474000205</v>
      </c>
      <c r="M53" s="4">
        <v>978466.24101999996</v>
      </c>
      <c r="N53" s="4">
        <v>987397.96243999992</v>
      </c>
      <c r="O53" s="4">
        <v>1024653.900699998</v>
      </c>
      <c r="P53" s="4">
        <v>1252310.3553599999</v>
      </c>
      <c r="Q53">
        <v>1335965.1722571533</v>
      </c>
      <c r="R53">
        <v>1</v>
      </c>
      <c r="S53" s="4">
        <v>0</v>
      </c>
      <c r="T53">
        <f t="shared" si="0"/>
        <v>7298.4192603661213</v>
      </c>
      <c r="U53">
        <f t="shared" si="1"/>
        <v>-7297.4192603661213</v>
      </c>
      <c r="V53">
        <v>1429195.1839541181</v>
      </c>
      <c r="W53">
        <v>1</v>
      </c>
      <c r="X53">
        <v>1435370.8454163461</v>
      </c>
      <c r="Y53">
        <v>1</v>
      </c>
      <c r="Z53">
        <f t="shared" si="2"/>
        <v>5.4930174971787628E-3</v>
      </c>
    </row>
    <row r="54" spans="1:26" x14ac:dyDescent="0.3">
      <c r="A54">
        <v>20220224</v>
      </c>
      <c r="B54" s="5">
        <v>44616</v>
      </c>
      <c r="C54">
        <v>928387.21236317011</v>
      </c>
      <c r="D54">
        <v>988277.34379999898</v>
      </c>
      <c r="E54" s="5">
        <v>44616</v>
      </c>
      <c r="F54" s="4">
        <v>20220224</v>
      </c>
      <c r="G54" s="5"/>
      <c r="H54" s="4">
        <v>893179.15657999797</v>
      </c>
      <c r="I54" s="4">
        <v>1078024.11176</v>
      </c>
      <c r="J54" s="4">
        <v>1173094.74642</v>
      </c>
      <c r="K54">
        <v>967447.38863999804</v>
      </c>
      <c r="L54" s="4">
        <v>985867.96532000194</v>
      </c>
      <c r="M54" s="4">
        <v>980730.90042000008</v>
      </c>
      <c r="N54" s="4">
        <v>989717.97366000002</v>
      </c>
      <c r="O54" s="4">
        <v>1019486.808599998</v>
      </c>
      <c r="P54" s="4">
        <v>1246068.4639000001</v>
      </c>
      <c r="Q54">
        <v>1335965.1722571533</v>
      </c>
      <c r="R54">
        <v>0</v>
      </c>
      <c r="S54" s="4">
        <v>0</v>
      </c>
      <c r="T54">
        <f t="shared" si="0"/>
        <v>0</v>
      </c>
      <c r="U54">
        <f t="shared" si="1"/>
        <v>0</v>
      </c>
      <c r="V54">
        <v>1407706.6318540983</v>
      </c>
      <c r="W54">
        <v>1</v>
      </c>
      <c r="X54">
        <v>1413789.5904712039</v>
      </c>
      <c r="Y54">
        <v>1</v>
      </c>
      <c r="Z54">
        <f t="shared" si="2"/>
        <v>-1.5035316492639433E-2</v>
      </c>
    </row>
    <row r="55" spans="1:26" x14ac:dyDescent="0.3">
      <c r="A55">
        <v>20220225</v>
      </c>
      <c r="B55" s="5">
        <v>44617</v>
      </c>
      <c r="C55">
        <v>930041.59837560111</v>
      </c>
      <c r="D55">
        <v>979960.76229999994</v>
      </c>
      <c r="E55" s="5">
        <v>44617</v>
      </c>
      <c r="F55" s="4">
        <v>20220225</v>
      </c>
      <c r="G55" s="5"/>
      <c r="H55" s="4">
        <v>911992.58783999796</v>
      </c>
      <c r="I55" s="4">
        <v>1104894.332079998</v>
      </c>
      <c r="J55" s="4">
        <v>1190357.77984</v>
      </c>
      <c r="K55">
        <v>988811.46829999797</v>
      </c>
      <c r="L55" s="4">
        <v>978045.13396000187</v>
      </c>
      <c r="M55" s="4">
        <v>972782.49352000002</v>
      </c>
      <c r="N55" s="4">
        <v>975275.18063999992</v>
      </c>
      <c r="O55" s="4">
        <v>1054217.3161399979</v>
      </c>
      <c r="P55" s="4">
        <v>1274525.71634</v>
      </c>
      <c r="Q55">
        <v>1330465.5275783928</v>
      </c>
      <c r="R55">
        <v>1</v>
      </c>
      <c r="S55" s="4">
        <v>0</v>
      </c>
      <c r="T55">
        <f t="shared" si="0"/>
        <v>-5499.6446787605528</v>
      </c>
      <c r="U55">
        <f t="shared" si="1"/>
        <v>5500.6446787605528</v>
      </c>
      <c r="V55">
        <v>1401911.6536720933</v>
      </c>
      <c r="W55">
        <v>1</v>
      </c>
      <c r="X55">
        <v>1407970.1262263975</v>
      </c>
      <c r="Y55">
        <v>1</v>
      </c>
      <c r="Z55">
        <f t="shared" si="2"/>
        <v>-4.1162166449866585E-3</v>
      </c>
    </row>
    <row r="56" spans="1:26" x14ac:dyDescent="0.3">
      <c r="A56">
        <v>20220228</v>
      </c>
      <c r="B56" s="5">
        <v>44620</v>
      </c>
      <c r="C56">
        <v>937748.85310133977</v>
      </c>
      <c r="D56">
        <v>976941.04959999898</v>
      </c>
      <c r="E56" s="5">
        <v>44620</v>
      </c>
      <c r="F56" s="4">
        <v>20220228</v>
      </c>
      <c r="G56" s="5"/>
      <c r="H56" s="4">
        <v>895526.20833999792</v>
      </c>
      <c r="I56" s="4">
        <v>1117704.1408599981</v>
      </c>
      <c r="J56" s="4">
        <v>1196385.5929400001</v>
      </c>
      <c r="K56">
        <v>1010732.787699998</v>
      </c>
      <c r="L56" s="4">
        <v>974876.23881999997</v>
      </c>
      <c r="M56" s="4">
        <v>970035.62493999989</v>
      </c>
      <c r="N56" s="4">
        <v>979855.32996</v>
      </c>
      <c r="O56" s="4">
        <v>1077385.5636199978</v>
      </c>
      <c r="P56" s="4">
        <v>1289862.6698999999</v>
      </c>
      <c r="Q56">
        <v>1383445.6441576341</v>
      </c>
      <c r="R56">
        <v>1</v>
      </c>
      <c r="S56" s="4">
        <v>0</v>
      </c>
      <c r="T56">
        <f t="shared" si="0"/>
        <v>52980.116579241352</v>
      </c>
      <c r="U56">
        <f t="shared" si="1"/>
        <v>-52979.116579241352</v>
      </c>
      <c r="V56">
        <v>1401911.6536720933</v>
      </c>
      <c r="W56">
        <v>0</v>
      </c>
      <c r="X56">
        <v>1464036.4848447959</v>
      </c>
      <c r="Y56">
        <v>1</v>
      </c>
      <c r="Z56">
        <f t="shared" si="2"/>
        <v>3.9820701855845429E-2</v>
      </c>
    </row>
    <row r="57" spans="1:26" x14ac:dyDescent="0.3">
      <c r="A57">
        <v>20220301</v>
      </c>
      <c r="B57" s="5">
        <v>44621</v>
      </c>
      <c r="C57">
        <v>929394.44856905995</v>
      </c>
      <c r="D57">
        <v>976025.61799999897</v>
      </c>
      <c r="E57" s="5">
        <v>44621</v>
      </c>
      <c r="F57" s="4">
        <v>20220301</v>
      </c>
      <c r="G57" s="5"/>
      <c r="H57" s="4">
        <v>894560.14043999801</v>
      </c>
      <c r="I57" s="4">
        <v>1112678.0391999981</v>
      </c>
      <c r="J57" s="4">
        <v>1211940.382</v>
      </c>
      <c r="K57">
        <v>1010416.6736399981</v>
      </c>
      <c r="L57" s="4">
        <v>974146.46848000004</v>
      </c>
      <c r="M57" s="4">
        <v>968077.12914000009</v>
      </c>
      <c r="N57" s="4">
        <v>980342.83181999996</v>
      </c>
      <c r="O57" s="4">
        <v>1076226.1937599978</v>
      </c>
      <c r="P57" s="4">
        <v>1289054.66408</v>
      </c>
      <c r="Q57">
        <v>1395715.1501628847</v>
      </c>
      <c r="R57">
        <v>2</v>
      </c>
      <c r="S57" s="4">
        <v>0</v>
      </c>
      <c r="T57">
        <f t="shared" si="0"/>
        <v>12269.506005250616</v>
      </c>
      <c r="U57">
        <f t="shared" si="1"/>
        <v>-12267.506005250616</v>
      </c>
      <c r="V57">
        <v>1401911.6536720933</v>
      </c>
      <c r="W57">
        <v>0</v>
      </c>
      <c r="X57">
        <v>1469051.9535662422</v>
      </c>
      <c r="Y57">
        <v>1</v>
      </c>
      <c r="Z57">
        <f t="shared" si="2"/>
        <v>3.4257812379437005E-3</v>
      </c>
    </row>
    <row r="58" spans="1:26" x14ac:dyDescent="0.3">
      <c r="A58">
        <v>20220302</v>
      </c>
      <c r="B58" s="5">
        <v>44622</v>
      </c>
      <c r="C58">
        <v>923904.5155613625</v>
      </c>
      <c r="D58">
        <v>960385.72309999901</v>
      </c>
      <c r="E58" s="5">
        <v>44622</v>
      </c>
      <c r="F58" s="4">
        <v>20220302</v>
      </c>
      <c r="G58" s="5"/>
      <c r="H58" s="4">
        <v>871523.10631999804</v>
      </c>
      <c r="I58" s="4">
        <v>1088246.780859998</v>
      </c>
      <c r="J58" s="4">
        <v>1210731.3144799999</v>
      </c>
      <c r="K58">
        <v>996069.37531999801</v>
      </c>
      <c r="L58" s="4">
        <v>951283.57317999995</v>
      </c>
      <c r="M58" s="4">
        <v>943078.15543999802</v>
      </c>
      <c r="N58" s="4">
        <v>965991.72907999996</v>
      </c>
      <c r="O58" s="4">
        <v>1048518.7852199979</v>
      </c>
      <c r="P58" s="4">
        <v>1270463.6107399999</v>
      </c>
      <c r="Q58">
        <v>1373493.2181474175</v>
      </c>
      <c r="R58">
        <v>2</v>
      </c>
      <c r="S58" s="4">
        <v>0</v>
      </c>
      <c r="T58">
        <f t="shared" si="0"/>
        <v>-22221.932015467202</v>
      </c>
      <c r="U58">
        <f t="shared" si="1"/>
        <v>22223.932015467202</v>
      </c>
      <c r="V58">
        <v>1379591.0316841723</v>
      </c>
      <c r="W58">
        <v>2</v>
      </c>
      <c r="X58">
        <v>1408637.8672589413</v>
      </c>
      <c r="Y58">
        <v>1</v>
      </c>
      <c r="Z58">
        <f t="shared" si="2"/>
        <v>-4.1124540327277657E-2</v>
      </c>
    </row>
    <row r="59" spans="1:26" x14ac:dyDescent="0.3">
      <c r="A59">
        <v>20220303</v>
      </c>
      <c r="B59" s="5">
        <v>44623</v>
      </c>
      <c r="C59">
        <v>912685.54302890098</v>
      </c>
      <c r="D59">
        <v>958666.44009999896</v>
      </c>
      <c r="E59" s="5">
        <v>44623</v>
      </c>
      <c r="F59" s="4">
        <v>20220303</v>
      </c>
      <c r="G59" s="5"/>
      <c r="H59" s="4">
        <v>872576.55217999802</v>
      </c>
      <c r="I59" s="4">
        <v>1084410.326519998</v>
      </c>
      <c r="J59" s="4">
        <v>1220041.94784</v>
      </c>
      <c r="K59">
        <v>986085.58559999801</v>
      </c>
      <c r="L59" s="4">
        <v>949012.79267999995</v>
      </c>
      <c r="M59" s="4">
        <v>942604.06285999995</v>
      </c>
      <c r="N59" s="4">
        <v>969651.76789999998</v>
      </c>
      <c r="O59" s="4">
        <v>1043309.935279998</v>
      </c>
      <c r="P59" s="4">
        <v>1265568.1893799999</v>
      </c>
      <c r="Q59">
        <v>1373493.2181474175</v>
      </c>
      <c r="R59">
        <v>0</v>
      </c>
      <c r="S59" s="4">
        <v>0</v>
      </c>
      <c r="T59">
        <f t="shared" si="0"/>
        <v>0</v>
      </c>
      <c r="U59">
        <f t="shared" si="1"/>
        <v>0</v>
      </c>
      <c r="V59">
        <v>1374274.9617397573</v>
      </c>
      <c r="W59">
        <v>4</v>
      </c>
      <c r="X59">
        <v>1424889.3864063658</v>
      </c>
      <c r="Y59">
        <v>1</v>
      </c>
      <c r="Z59">
        <f t="shared" si="2"/>
        <v>1.1537045485684842E-2</v>
      </c>
    </row>
    <row r="60" spans="1:26" x14ac:dyDescent="0.3">
      <c r="A60">
        <v>20220304</v>
      </c>
      <c r="B60" s="5">
        <v>44624</v>
      </c>
      <c r="C60">
        <v>883512.46233152528</v>
      </c>
      <c r="D60">
        <v>936340.982699999</v>
      </c>
      <c r="E60" s="5">
        <v>44624</v>
      </c>
      <c r="F60" s="4">
        <v>20220304</v>
      </c>
      <c r="G60" s="5"/>
      <c r="H60" s="4">
        <v>841866.96373999992</v>
      </c>
      <c r="I60" s="4">
        <v>1044232.1898599981</v>
      </c>
      <c r="J60" s="4">
        <v>1179281.4357799999</v>
      </c>
      <c r="K60">
        <v>962022.56671999802</v>
      </c>
      <c r="L60" s="4">
        <v>917940.54550000001</v>
      </c>
      <c r="M60" s="4">
        <v>909409.87479999999</v>
      </c>
      <c r="N60" s="4">
        <v>939792.89335999987</v>
      </c>
      <c r="O60" s="4">
        <v>1017830.887019998</v>
      </c>
      <c r="P60" s="4">
        <v>1230505.1831199999</v>
      </c>
      <c r="Q60">
        <v>1373493.2181474175</v>
      </c>
      <c r="R60">
        <v>0</v>
      </c>
      <c r="S60" s="4">
        <v>0</v>
      </c>
      <c r="T60">
        <f t="shared" si="0"/>
        <v>0</v>
      </c>
      <c r="U60">
        <f t="shared" si="1"/>
        <v>0</v>
      </c>
      <c r="V60">
        <v>1336156.5651203983</v>
      </c>
      <c r="W60">
        <v>4</v>
      </c>
      <c r="X60">
        <v>1360230.4079481098</v>
      </c>
      <c r="Y60">
        <v>1</v>
      </c>
      <c r="Z60">
        <f t="shared" si="2"/>
        <v>-4.5378244146606218E-2</v>
      </c>
    </row>
    <row r="61" spans="1:26" x14ac:dyDescent="0.3">
      <c r="A61">
        <v>20220307</v>
      </c>
      <c r="B61" s="5">
        <v>44627</v>
      </c>
      <c r="C61">
        <v>865760.92993836035</v>
      </c>
      <c r="D61">
        <v>903156.31420000002</v>
      </c>
      <c r="E61" s="5">
        <v>44627</v>
      </c>
      <c r="F61" s="4">
        <v>20220307</v>
      </c>
      <c r="G61" s="5"/>
      <c r="H61" s="4">
        <v>813319.12809999799</v>
      </c>
      <c r="I61" s="4">
        <v>1004444.548879998</v>
      </c>
      <c r="J61" s="4">
        <v>1134202.9213</v>
      </c>
      <c r="K61">
        <v>914949.55703999789</v>
      </c>
      <c r="L61" s="4">
        <v>883697.70028000011</v>
      </c>
      <c r="M61" s="4">
        <v>881941.7953</v>
      </c>
      <c r="N61" s="4">
        <v>910959.55774000008</v>
      </c>
      <c r="O61" s="4">
        <v>956389.69349999796</v>
      </c>
      <c r="P61" s="4">
        <v>1211745.70462</v>
      </c>
      <c r="Q61">
        <v>1408401.7890483614</v>
      </c>
      <c r="R61">
        <v>2</v>
      </c>
      <c r="S61" s="4">
        <v>0</v>
      </c>
      <c r="T61">
        <f t="shared" si="0"/>
        <v>34908.570900943829</v>
      </c>
      <c r="U61">
        <f t="shared" si="1"/>
        <v>-34906.570900943829</v>
      </c>
      <c r="V61">
        <v>1315725.1238411425</v>
      </c>
      <c r="W61">
        <v>4</v>
      </c>
      <c r="X61">
        <v>1296219.5047160292</v>
      </c>
      <c r="Y61">
        <v>1</v>
      </c>
      <c r="Z61">
        <f t="shared" si="2"/>
        <v>-4.7058868010927839E-2</v>
      </c>
    </row>
    <row r="62" spans="1:26" x14ac:dyDescent="0.3">
      <c r="A62">
        <v>20220308</v>
      </c>
      <c r="B62" s="5">
        <v>44628</v>
      </c>
      <c r="C62">
        <v>857821.90221082547</v>
      </c>
      <c r="D62">
        <v>908524.351399999</v>
      </c>
      <c r="E62" s="5">
        <v>44628</v>
      </c>
      <c r="F62" s="4">
        <v>20220308</v>
      </c>
      <c r="G62" s="5"/>
      <c r="H62" s="4">
        <v>808410.89923999994</v>
      </c>
      <c r="I62" s="4">
        <v>1005211.754719998</v>
      </c>
      <c r="J62" s="4">
        <v>1129970.5917</v>
      </c>
      <c r="K62">
        <v>908733.9597599979</v>
      </c>
      <c r="L62" s="4">
        <v>891223.03198000009</v>
      </c>
      <c r="M62" s="4">
        <v>888195.46185999992</v>
      </c>
      <c r="N62" s="4">
        <v>923377.27359999996</v>
      </c>
      <c r="O62" s="4">
        <v>957124.75577999803</v>
      </c>
      <c r="P62" s="4">
        <v>1207405.1346799999</v>
      </c>
      <c r="Q62">
        <v>1416648.9928192885</v>
      </c>
      <c r="R62">
        <v>2</v>
      </c>
      <c r="S62" s="4">
        <v>0</v>
      </c>
      <c r="T62">
        <f t="shared" si="0"/>
        <v>8247.2037709271535</v>
      </c>
      <c r="U62">
        <f t="shared" si="1"/>
        <v>-8245.2037709271535</v>
      </c>
      <c r="V62">
        <v>1315725.1238411425</v>
      </c>
      <c r="W62">
        <v>0</v>
      </c>
      <c r="X62">
        <v>1297045.5092750662</v>
      </c>
      <c r="Y62">
        <v>3</v>
      </c>
      <c r="Z62">
        <f t="shared" si="2"/>
        <v>6.37241266646424E-4</v>
      </c>
    </row>
    <row r="63" spans="1:26" x14ac:dyDescent="0.3">
      <c r="A63">
        <v>20220309</v>
      </c>
      <c r="B63" s="5">
        <v>44629</v>
      </c>
      <c r="C63">
        <v>871304.289047873</v>
      </c>
      <c r="D63">
        <v>916844.41929999995</v>
      </c>
      <c r="E63" s="5">
        <v>44629</v>
      </c>
      <c r="F63" s="4">
        <v>20220309</v>
      </c>
      <c r="G63" s="5"/>
      <c r="H63" s="4">
        <v>819155.42559999798</v>
      </c>
      <c r="I63" s="4">
        <v>1026942.011919998</v>
      </c>
      <c r="J63" s="4">
        <v>1141724.37916</v>
      </c>
      <c r="K63">
        <v>935296.8771199981</v>
      </c>
      <c r="L63" s="4">
        <v>900019.22112000012</v>
      </c>
      <c r="M63" s="4">
        <v>895435.32095999992</v>
      </c>
      <c r="N63" s="4">
        <v>933052.93961999996</v>
      </c>
      <c r="O63" s="4">
        <v>969876.91199999803</v>
      </c>
      <c r="P63" s="4">
        <v>1212765.9252200001</v>
      </c>
      <c r="Q63">
        <v>1426508.0516024751</v>
      </c>
      <c r="R63">
        <v>1</v>
      </c>
      <c r="S63" s="4">
        <v>0</v>
      </c>
      <c r="T63">
        <f t="shared" si="0"/>
        <v>9859.0587831865996</v>
      </c>
      <c r="U63">
        <f t="shared" si="1"/>
        <v>-9858.0587831865996</v>
      </c>
      <c r="V63">
        <v>1315725.1238411425</v>
      </c>
      <c r="W63">
        <v>0</v>
      </c>
      <c r="X63">
        <v>1306065.0487382256</v>
      </c>
      <c r="Y63">
        <v>1</v>
      </c>
      <c r="Z63">
        <f t="shared" si="2"/>
        <v>6.953911330528811E-3</v>
      </c>
    </row>
    <row r="64" spans="1:26" x14ac:dyDescent="0.3">
      <c r="A64">
        <v>20220310</v>
      </c>
      <c r="B64" s="5">
        <v>44630</v>
      </c>
      <c r="C64">
        <v>874068.06625273288</v>
      </c>
      <c r="D64">
        <v>918619.51110000105</v>
      </c>
      <c r="E64" s="5">
        <v>44630</v>
      </c>
      <c r="F64" s="4">
        <v>20220310</v>
      </c>
      <c r="G64" s="5"/>
      <c r="H64" s="4">
        <v>810884.16287999798</v>
      </c>
      <c r="I64" s="4">
        <v>1014970.1795999979</v>
      </c>
      <c r="J64" s="4">
        <v>1149276.74278</v>
      </c>
      <c r="K64">
        <v>932324.44301999803</v>
      </c>
      <c r="L64" s="4">
        <v>898928.22833999991</v>
      </c>
      <c r="M64" s="4">
        <v>894987.74795999995</v>
      </c>
      <c r="N64" s="4">
        <v>929529.54807999986</v>
      </c>
      <c r="O64" s="4">
        <v>961623.66225999803</v>
      </c>
      <c r="P64" s="4">
        <v>1206373.3989800001</v>
      </c>
      <c r="Q64">
        <v>1428542.7686863365</v>
      </c>
      <c r="R64">
        <v>1</v>
      </c>
      <c r="S64" s="4">
        <v>0</v>
      </c>
      <c r="T64">
        <f t="shared" si="0"/>
        <v>2034.7170838613529</v>
      </c>
      <c r="U64">
        <f t="shared" si="1"/>
        <v>-2033.7170838613529</v>
      </c>
      <c r="V64">
        <v>1310072.3163660455</v>
      </c>
      <c r="W64">
        <v>3</v>
      </c>
      <c r="X64">
        <v>1307927.9612315139</v>
      </c>
      <c r="Y64">
        <v>1</v>
      </c>
      <c r="Z64">
        <f t="shared" si="2"/>
        <v>1.4263550617850333E-3</v>
      </c>
    </row>
    <row r="65" spans="1:26" x14ac:dyDescent="0.3">
      <c r="A65">
        <v>20220311</v>
      </c>
      <c r="B65" s="5">
        <v>44631</v>
      </c>
      <c r="C65">
        <v>847311.09460860421</v>
      </c>
      <c r="D65">
        <v>902727.97870000196</v>
      </c>
      <c r="E65" s="5">
        <v>44631</v>
      </c>
      <c r="F65" s="4">
        <v>20220311</v>
      </c>
      <c r="G65" s="5"/>
      <c r="H65" s="4">
        <v>798830.93757999805</v>
      </c>
      <c r="I65" s="4">
        <v>1010823.611359998</v>
      </c>
      <c r="J65" s="4">
        <v>1112485.8501800001</v>
      </c>
      <c r="K65">
        <v>919364.45665999805</v>
      </c>
      <c r="L65" s="4">
        <v>872317.10576000006</v>
      </c>
      <c r="M65" s="4">
        <v>868435.22315999994</v>
      </c>
      <c r="N65" s="4">
        <v>897679.04683999997</v>
      </c>
      <c r="O65" s="4">
        <v>951944.89005999803</v>
      </c>
      <c r="P65" s="4">
        <v>1185068.0511</v>
      </c>
      <c r="Q65">
        <v>1428542.7686863365</v>
      </c>
      <c r="R65">
        <v>0</v>
      </c>
      <c r="S65" s="4">
        <v>0</v>
      </c>
      <c r="T65">
        <f t="shared" si="0"/>
        <v>0</v>
      </c>
      <c r="U65">
        <f t="shared" si="1"/>
        <v>0</v>
      </c>
      <c r="V65">
        <v>1296313.9717576548</v>
      </c>
      <c r="W65">
        <v>3</v>
      </c>
      <c r="X65">
        <v>1279227.0198957482</v>
      </c>
      <c r="Y65">
        <v>1</v>
      </c>
      <c r="Z65">
        <f t="shared" si="2"/>
        <v>-2.1943824267463111E-2</v>
      </c>
    </row>
    <row r="66" spans="1:26" x14ac:dyDescent="0.3">
      <c r="A66">
        <v>20220314</v>
      </c>
      <c r="B66" s="5">
        <v>44634</v>
      </c>
      <c r="C66">
        <v>808543.22278588207</v>
      </c>
      <c r="D66">
        <v>864930.89090000198</v>
      </c>
      <c r="E66" s="5">
        <v>44634</v>
      </c>
      <c r="F66" s="4">
        <v>20220314</v>
      </c>
      <c r="G66" s="5"/>
      <c r="H66" s="4">
        <v>756071.42537999793</v>
      </c>
      <c r="I66" s="4">
        <v>955515.66373999813</v>
      </c>
      <c r="J66" s="4">
        <v>1035501.7799799999</v>
      </c>
      <c r="K66">
        <v>870702.02280000004</v>
      </c>
      <c r="L66" s="4">
        <v>825322.84771999996</v>
      </c>
      <c r="M66" s="4">
        <v>821326.73745999997</v>
      </c>
      <c r="N66" s="4">
        <v>849428.77638000005</v>
      </c>
      <c r="O66" s="4">
        <v>908220.49951999797</v>
      </c>
      <c r="P66" s="4">
        <v>1137790.81302</v>
      </c>
      <c r="Q66">
        <v>1393412.4180962529</v>
      </c>
      <c r="R66">
        <v>2</v>
      </c>
      <c r="S66" s="4">
        <v>0</v>
      </c>
      <c r="T66">
        <f t="shared" si="0"/>
        <v>-35130.350590083515</v>
      </c>
      <c r="U66">
        <f t="shared" si="1"/>
        <v>35132.350590083515</v>
      </c>
      <c r="V66">
        <v>1266620.0974321614</v>
      </c>
      <c r="W66">
        <v>1</v>
      </c>
      <c r="X66">
        <v>1249925.0984716029</v>
      </c>
      <c r="Y66">
        <v>1</v>
      </c>
      <c r="Z66">
        <f t="shared" si="2"/>
        <v>-2.2905958808260109E-2</v>
      </c>
    </row>
    <row r="67" spans="1:26" x14ac:dyDescent="0.3">
      <c r="A67">
        <v>20220315</v>
      </c>
      <c r="B67" s="5">
        <v>44635</v>
      </c>
      <c r="C67">
        <v>843493.31213402469</v>
      </c>
      <c r="D67">
        <v>884716.05020000204</v>
      </c>
      <c r="E67" s="5">
        <v>44635</v>
      </c>
      <c r="F67" s="4">
        <v>20220315</v>
      </c>
      <c r="G67" s="5"/>
      <c r="H67" s="4">
        <v>776878.66265999794</v>
      </c>
      <c r="I67" s="4">
        <v>969673.26347999799</v>
      </c>
      <c r="J67" s="4">
        <v>1071973.4666200001</v>
      </c>
      <c r="K67">
        <v>905675.70297999994</v>
      </c>
      <c r="L67" s="4">
        <v>849743.21331999986</v>
      </c>
      <c r="M67" s="4">
        <v>848061.46763999795</v>
      </c>
      <c r="N67" s="4">
        <v>871813.18993999995</v>
      </c>
      <c r="O67" s="4">
        <v>936839.0431399981</v>
      </c>
      <c r="P67" s="4">
        <v>1173903.7952999999</v>
      </c>
      <c r="Q67">
        <v>1417742.6013518639</v>
      </c>
      <c r="R67">
        <v>2</v>
      </c>
      <c r="S67" s="4">
        <v>0</v>
      </c>
      <c r="T67">
        <f t="shared" si="0"/>
        <v>24330.183255610988</v>
      </c>
      <c r="U67">
        <f t="shared" si="1"/>
        <v>-24328.183255610988</v>
      </c>
      <c r="V67">
        <v>1293467.8943498184</v>
      </c>
      <c r="W67">
        <v>1</v>
      </c>
      <c r="X67">
        <v>1289614.7627145541</v>
      </c>
      <c r="Y67">
        <v>4</v>
      </c>
      <c r="Z67">
        <f t="shared" si="2"/>
        <v>3.1753634110942619E-2</v>
      </c>
    </row>
    <row r="68" spans="1:26" x14ac:dyDescent="0.3">
      <c r="A68">
        <v>20220316</v>
      </c>
      <c r="B68" s="5">
        <v>44636</v>
      </c>
      <c r="C68">
        <v>860043.49441140634</v>
      </c>
      <c r="D68">
        <v>892943.74370000197</v>
      </c>
      <c r="E68" s="5">
        <v>44636</v>
      </c>
      <c r="F68" s="4">
        <v>20220316</v>
      </c>
      <c r="G68" s="5"/>
      <c r="H68" s="4">
        <v>799134.56849999796</v>
      </c>
      <c r="I68" s="4">
        <v>997451.768939998</v>
      </c>
      <c r="J68" s="4">
        <v>1088233.9886</v>
      </c>
      <c r="K68">
        <v>925200.41362000001</v>
      </c>
      <c r="L68" s="4">
        <v>861399.82740000007</v>
      </c>
      <c r="M68" s="4">
        <v>858699.937359998</v>
      </c>
      <c r="N68" s="4">
        <v>884714.22474000009</v>
      </c>
      <c r="O68" s="4">
        <v>971226.25353999808</v>
      </c>
      <c r="P68" s="4">
        <v>1214151.3748400002</v>
      </c>
      <c r="Q68">
        <v>1458633.1062246382</v>
      </c>
      <c r="R68">
        <v>2</v>
      </c>
      <c r="S68" s="4">
        <v>0</v>
      </c>
      <c r="T68">
        <f t="shared" ref="T68:T131" si="3">Q68-Q67</f>
        <v>40890.50487277424</v>
      </c>
      <c r="U68">
        <f t="shared" ref="U68:U131" si="4">R68-T68</f>
        <v>-40888.50487277424</v>
      </c>
      <c r="V68">
        <v>1330774.0832134769</v>
      </c>
      <c r="W68">
        <v>2</v>
      </c>
      <c r="X68">
        <v>1333862.3334840885</v>
      </c>
      <c r="Y68">
        <v>4</v>
      </c>
      <c r="Z68">
        <f t="shared" ref="Z68:Z131" si="5">(X68-X67)/X67</f>
        <v>3.4310688779954898E-2</v>
      </c>
    </row>
    <row r="69" spans="1:26" x14ac:dyDescent="0.3">
      <c r="A69">
        <v>20220317</v>
      </c>
      <c r="B69" s="5">
        <v>44637</v>
      </c>
      <c r="C69">
        <v>865754.1832142981</v>
      </c>
      <c r="D69">
        <v>898983.57080000197</v>
      </c>
      <c r="E69" s="5">
        <v>44637</v>
      </c>
      <c r="F69" s="4">
        <v>20220317</v>
      </c>
      <c r="G69" s="5"/>
      <c r="H69" s="4">
        <v>803108.33073999803</v>
      </c>
      <c r="I69" s="4">
        <v>998853.99507999793</v>
      </c>
      <c r="J69" s="4">
        <v>1076746.8564200001</v>
      </c>
      <c r="K69">
        <v>926232.85031999997</v>
      </c>
      <c r="L69" s="4">
        <v>864410.67087999987</v>
      </c>
      <c r="M69" s="4">
        <v>863844.76159999799</v>
      </c>
      <c r="N69" s="4">
        <v>891556.84453999996</v>
      </c>
      <c r="O69" s="4">
        <v>966013.51405999786</v>
      </c>
      <c r="P69" s="4">
        <v>1206372.3516000002</v>
      </c>
      <c r="Q69">
        <v>1438253.0137208696</v>
      </c>
      <c r="R69">
        <v>1</v>
      </c>
      <c r="S69" s="4">
        <v>0</v>
      </c>
      <c r="T69">
        <f t="shared" si="3"/>
        <v>-20380.092503768625</v>
      </c>
      <c r="U69">
        <f t="shared" si="4"/>
        <v>20381.092503768625</v>
      </c>
      <c r="V69">
        <v>1296205.218031809</v>
      </c>
      <c r="W69">
        <v>2</v>
      </c>
      <c r="X69">
        <v>1325301.7471003779</v>
      </c>
      <c r="Y69">
        <v>4</v>
      </c>
      <c r="Z69">
        <f t="shared" si="5"/>
        <v>-6.417893487816022E-3</v>
      </c>
    </row>
    <row r="70" spans="1:26" x14ac:dyDescent="0.3">
      <c r="A70">
        <v>20220318</v>
      </c>
      <c r="B70" s="5">
        <v>44638</v>
      </c>
      <c r="C70">
        <v>864288.46138211642</v>
      </c>
      <c r="D70">
        <v>898065.80940000096</v>
      </c>
      <c r="E70" s="5">
        <v>44638</v>
      </c>
      <c r="F70" s="4">
        <v>20220318</v>
      </c>
      <c r="G70" s="5"/>
      <c r="H70" s="4">
        <v>809231.17389999796</v>
      </c>
      <c r="I70" s="4">
        <v>982709.38677999808</v>
      </c>
      <c r="J70" s="4">
        <v>1072716.46802</v>
      </c>
      <c r="K70">
        <v>900895.6703</v>
      </c>
      <c r="L70" s="4">
        <v>863958.71780000196</v>
      </c>
      <c r="M70" s="4">
        <v>863371.24430000002</v>
      </c>
      <c r="N70" s="4">
        <v>890569.93686000002</v>
      </c>
      <c r="O70" s="4">
        <v>941845.40027999808</v>
      </c>
      <c r="P70" s="4">
        <v>1178728.3069</v>
      </c>
      <c r="Q70">
        <v>1438253.0137208696</v>
      </c>
      <c r="R70">
        <v>0</v>
      </c>
      <c r="S70" s="4">
        <v>0</v>
      </c>
      <c r="T70">
        <f t="shared" si="3"/>
        <v>0</v>
      </c>
      <c r="U70">
        <f t="shared" si="4"/>
        <v>0</v>
      </c>
      <c r="V70">
        <v>1248973.6505358501</v>
      </c>
      <c r="W70">
        <v>2</v>
      </c>
      <c r="X70">
        <v>1294868.2001908973</v>
      </c>
      <c r="Y70">
        <v>4</v>
      </c>
      <c r="Z70">
        <f t="shared" si="5"/>
        <v>-2.2963485090143447E-2</v>
      </c>
    </row>
    <row r="71" spans="1:26" x14ac:dyDescent="0.3">
      <c r="A71">
        <v>20220321</v>
      </c>
      <c r="B71" s="5">
        <v>44641</v>
      </c>
      <c r="C71">
        <v>863574.55911301472</v>
      </c>
      <c r="D71">
        <v>899299.05430000101</v>
      </c>
      <c r="E71" s="5">
        <v>44641</v>
      </c>
      <c r="F71" s="4">
        <v>20220321</v>
      </c>
      <c r="G71" s="5"/>
      <c r="H71" s="4">
        <v>804471.55933999806</v>
      </c>
      <c r="I71" s="4">
        <v>990752.16699999792</v>
      </c>
      <c r="J71" s="4">
        <v>1074112.9065</v>
      </c>
      <c r="K71">
        <v>905212.22141999996</v>
      </c>
      <c r="L71" s="4">
        <v>862084.76789999998</v>
      </c>
      <c r="M71" s="4">
        <v>858718.65253999992</v>
      </c>
      <c r="N71" s="4">
        <v>888646.19042000012</v>
      </c>
      <c r="O71" s="4">
        <v>943695.03225999791</v>
      </c>
      <c r="P71" s="4">
        <v>1177842.39338</v>
      </c>
      <c r="Q71">
        <v>1438253.0137208696</v>
      </c>
      <c r="R71">
        <v>0</v>
      </c>
      <c r="S71" s="4">
        <v>0</v>
      </c>
      <c r="T71">
        <f t="shared" si="3"/>
        <v>0</v>
      </c>
      <c r="U71">
        <f t="shared" si="4"/>
        <v>0</v>
      </c>
      <c r="V71">
        <v>1244404.5866419175</v>
      </c>
      <c r="W71">
        <v>3</v>
      </c>
      <c r="X71">
        <v>1293896.2892435677</v>
      </c>
      <c r="Y71">
        <v>4</v>
      </c>
      <c r="Z71">
        <f t="shared" si="5"/>
        <v>-7.505867756937058E-4</v>
      </c>
    </row>
    <row r="72" spans="1:26" x14ac:dyDescent="0.3">
      <c r="A72">
        <v>20220322</v>
      </c>
      <c r="B72" s="5">
        <v>44642</v>
      </c>
      <c r="C72">
        <v>867867.38824636559</v>
      </c>
      <c r="D72">
        <v>901131.90070000105</v>
      </c>
      <c r="E72" s="5">
        <v>44642</v>
      </c>
      <c r="F72" s="4">
        <v>20220322</v>
      </c>
      <c r="G72" s="5"/>
      <c r="H72" s="4">
        <v>814065.78733999806</v>
      </c>
      <c r="I72" s="4">
        <v>990075.72703999805</v>
      </c>
      <c r="J72" s="4">
        <v>1070802.67132</v>
      </c>
      <c r="K72">
        <v>902736.52378000005</v>
      </c>
      <c r="L72" s="4">
        <v>863006.07874000201</v>
      </c>
      <c r="M72" s="4">
        <v>858755.27664000005</v>
      </c>
      <c r="N72" s="4">
        <v>894341.52207999991</v>
      </c>
      <c r="O72" s="4">
        <v>952620.73457999807</v>
      </c>
      <c r="P72" s="4">
        <v>1182608.3040999998</v>
      </c>
      <c r="Q72">
        <v>1473883.4262244718</v>
      </c>
      <c r="R72">
        <v>1</v>
      </c>
      <c r="S72" s="4">
        <v>0</v>
      </c>
      <c r="T72">
        <f t="shared" si="3"/>
        <v>35630.412503602216</v>
      </c>
      <c r="U72">
        <f t="shared" si="4"/>
        <v>-35629.412503602216</v>
      </c>
      <c r="V72">
        <v>1261757.8421511096</v>
      </c>
      <c r="W72">
        <v>3</v>
      </c>
      <c r="X72">
        <v>1299140.7599998179</v>
      </c>
      <c r="Y72">
        <v>4</v>
      </c>
      <c r="Z72">
        <f t="shared" si="5"/>
        <v>4.0532388877289396E-3</v>
      </c>
    </row>
    <row r="73" spans="1:26" x14ac:dyDescent="0.3">
      <c r="A73">
        <v>20220323</v>
      </c>
      <c r="B73" s="5">
        <v>44643</v>
      </c>
      <c r="C73">
        <v>862737.42411444127</v>
      </c>
      <c r="D73">
        <v>891825.38600000099</v>
      </c>
      <c r="E73" s="5">
        <v>44643</v>
      </c>
      <c r="F73" s="4">
        <v>20220323</v>
      </c>
      <c r="G73" s="5"/>
      <c r="H73" s="4">
        <v>806329.38066000002</v>
      </c>
      <c r="I73" s="4">
        <v>1006573.5965199999</v>
      </c>
      <c r="J73" s="4">
        <v>1054846.99966</v>
      </c>
      <c r="K73">
        <v>896898.58706000005</v>
      </c>
      <c r="L73" s="4">
        <v>854199.07176000194</v>
      </c>
      <c r="M73" s="4">
        <v>851600.70490000001</v>
      </c>
      <c r="N73" s="4">
        <v>883269.0446599999</v>
      </c>
      <c r="O73" s="4">
        <v>951497.79679999803</v>
      </c>
      <c r="P73" s="4">
        <v>1176774.43172</v>
      </c>
      <c r="Q73">
        <v>1519640.339458619</v>
      </c>
      <c r="R73">
        <v>1</v>
      </c>
      <c r="S73" s="4">
        <v>0</v>
      </c>
      <c r="T73">
        <f t="shared" si="3"/>
        <v>45756.913234147243</v>
      </c>
      <c r="U73">
        <f t="shared" si="4"/>
        <v>-45755.913234147243</v>
      </c>
      <c r="V73">
        <v>1300929.3088134641</v>
      </c>
      <c r="W73">
        <v>1</v>
      </c>
      <c r="X73">
        <v>1292724.2040853298</v>
      </c>
      <c r="Y73">
        <v>4</v>
      </c>
      <c r="Z73">
        <f t="shared" si="5"/>
        <v>-4.9390767436848452E-3</v>
      </c>
    </row>
    <row r="74" spans="1:26" x14ac:dyDescent="0.3">
      <c r="A74">
        <v>20220324</v>
      </c>
      <c r="B74" s="5">
        <v>44644</v>
      </c>
      <c r="C74">
        <v>847152.07254781388</v>
      </c>
      <c r="D74">
        <v>874452.09550000099</v>
      </c>
      <c r="E74" s="5">
        <v>44644</v>
      </c>
      <c r="F74" s="4">
        <v>20220324</v>
      </c>
      <c r="G74" s="5"/>
      <c r="H74" s="4">
        <v>794718.52573999995</v>
      </c>
      <c r="I74" s="4">
        <v>993051.66840000008</v>
      </c>
      <c r="J74" s="4">
        <v>1034892.74734</v>
      </c>
      <c r="K74">
        <v>864014.21745999996</v>
      </c>
      <c r="L74" s="4">
        <v>833523.11436000199</v>
      </c>
      <c r="M74" s="4">
        <v>829979.57004000002</v>
      </c>
      <c r="N74" s="4">
        <v>859688.96941999998</v>
      </c>
      <c r="O74" s="4">
        <v>934061.07595999795</v>
      </c>
      <c r="P74" s="4">
        <v>1148234.1878200001</v>
      </c>
      <c r="Q74">
        <v>1492247.3341005843</v>
      </c>
      <c r="R74">
        <v>1</v>
      </c>
      <c r="S74" s="4">
        <v>0</v>
      </c>
      <c r="T74">
        <f t="shared" si="3"/>
        <v>-27393.005358034745</v>
      </c>
      <c r="U74">
        <f t="shared" si="4"/>
        <v>27394.005358034745</v>
      </c>
      <c r="V74">
        <v>1277478.7772225598</v>
      </c>
      <c r="W74">
        <v>1</v>
      </c>
      <c r="X74">
        <v>1261330.7340222551</v>
      </c>
      <c r="Y74">
        <v>4</v>
      </c>
      <c r="Z74">
        <f t="shared" si="5"/>
        <v>-2.4284739129865101E-2</v>
      </c>
    </row>
    <row r="75" spans="1:26" x14ac:dyDescent="0.3">
      <c r="A75">
        <v>20220325</v>
      </c>
      <c r="B75" s="5">
        <v>44645</v>
      </c>
      <c r="C75">
        <v>841840.42905293906</v>
      </c>
      <c r="D75">
        <v>872429.05600000103</v>
      </c>
      <c r="E75" s="5">
        <v>44645</v>
      </c>
      <c r="F75" s="4">
        <v>20220325</v>
      </c>
      <c r="G75" s="5"/>
      <c r="H75" s="4">
        <v>787589.87198000005</v>
      </c>
      <c r="I75" s="4">
        <v>990544.31753999996</v>
      </c>
      <c r="J75" s="4">
        <v>1027217.4860400001</v>
      </c>
      <c r="K75">
        <v>857980.64587999997</v>
      </c>
      <c r="L75" s="4">
        <v>825226.00722000201</v>
      </c>
      <c r="M75" s="4">
        <v>823111.26636000001</v>
      </c>
      <c r="N75" s="4">
        <v>852486.64344000001</v>
      </c>
      <c r="O75" s="4">
        <v>917782.61813999806</v>
      </c>
      <c r="P75" s="4">
        <v>1120142.7415999998</v>
      </c>
      <c r="Q75">
        <v>1492247.3341005843</v>
      </c>
      <c r="R75">
        <v>0</v>
      </c>
      <c r="S75" s="4">
        <v>0</v>
      </c>
      <c r="T75">
        <f t="shared" si="3"/>
        <v>0</v>
      </c>
      <c r="U75">
        <f t="shared" si="4"/>
        <v>0</v>
      </c>
      <c r="V75">
        <v>1207134.39828811</v>
      </c>
      <c r="W75">
        <v>2</v>
      </c>
      <c r="X75">
        <v>1191877.4258331705</v>
      </c>
      <c r="Y75">
        <v>2</v>
      </c>
      <c r="Z75">
        <f t="shared" si="5"/>
        <v>-5.5063518485437203E-2</v>
      </c>
    </row>
    <row r="76" spans="1:26" x14ac:dyDescent="0.3">
      <c r="A76">
        <v>20220328</v>
      </c>
      <c r="B76" s="5">
        <v>44648</v>
      </c>
      <c r="C76">
        <v>838920.92644498346</v>
      </c>
      <c r="D76">
        <v>872905.96</v>
      </c>
      <c r="E76" s="5">
        <v>44648</v>
      </c>
      <c r="F76" s="4">
        <v>20220328</v>
      </c>
      <c r="G76" s="5"/>
      <c r="H76" s="4">
        <v>792018.39831999992</v>
      </c>
      <c r="I76" s="4">
        <v>988983.40651999996</v>
      </c>
      <c r="J76" s="4">
        <v>1026803.22436</v>
      </c>
      <c r="K76">
        <v>853343.9185599999</v>
      </c>
      <c r="L76" s="4">
        <v>825625.910900002</v>
      </c>
      <c r="M76" s="4">
        <v>821928.43258000002</v>
      </c>
      <c r="N76" s="4">
        <v>852811.12276000006</v>
      </c>
      <c r="O76" s="4">
        <v>922287.24621999799</v>
      </c>
      <c r="P76" s="4">
        <v>1117832.09714</v>
      </c>
      <c r="Q76">
        <v>1492247.3341005843</v>
      </c>
      <c r="R76">
        <v>0</v>
      </c>
      <c r="S76" s="4">
        <v>0</v>
      </c>
      <c r="T76">
        <f t="shared" si="3"/>
        <v>0</v>
      </c>
      <c r="U76">
        <f t="shared" si="4"/>
        <v>0</v>
      </c>
      <c r="V76">
        <v>1207134.39828811</v>
      </c>
      <c r="W76">
        <v>0</v>
      </c>
      <c r="X76">
        <v>1191273.9475600177</v>
      </c>
      <c r="Y76">
        <v>2</v>
      </c>
      <c r="Z76">
        <f t="shared" si="5"/>
        <v>-5.0632578491113182E-4</v>
      </c>
    </row>
    <row r="77" spans="1:26" x14ac:dyDescent="0.3">
      <c r="A77">
        <v>20220329</v>
      </c>
      <c r="B77" s="5">
        <v>44649</v>
      </c>
      <c r="C77">
        <v>863249.63331188797</v>
      </c>
      <c r="D77">
        <v>882191.37429999898</v>
      </c>
      <c r="E77" s="5">
        <v>44649</v>
      </c>
      <c r="F77" s="4">
        <v>20220329</v>
      </c>
      <c r="G77" s="5"/>
      <c r="H77" s="4">
        <v>809533.94519999996</v>
      </c>
      <c r="I77" s="4">
        <v>1005500.0576199999</v>
      </c>
      <c r="J77" s="4">
        <v>1041771.17132</v>
      </c>
      <c r="K77">
        <v>869704.28205999988</v>
      </c>
      <c r="L77" s="4">
        <v>837797.22065999999</v>
      </c>
      <c r="M77" s="4">
        <v>833195.22045999998</v>
      </c>
      <c r="N77" s="4">
        <v>870366.85690000001</v>
      </c>
      <c r="O77" s="4">
        <v>939407.80325999798</v>
      </c>
      <c r="P77" s="4">
        <v>1152887.9596000002</v>
      </c>
      <c r="Q77">
        <v>1540401.5688468881</v>
      </c>
      <c r="R77">
        <v>4</v>
      </c>
      <c r="S77" s="4">
        <v>0</v>
      </c>
      <c r="T77">
        <f t="shared" si="3"/>
        <v>48154.234746303875</v>
      </c>
      <c r="U77">
        <f t="shared" si="4"/>
        <v>-48150.234746303875</v>
      </c>
      <c r="V77">
        <v>1250835.7505220564</v>
      </c>
      <c r="W77">
        <v>1</v>
      </c>
      <c r="X77">
        <v>1242810.6224617548</v>
      </c>
      <c r="Y77">
        <v>2</v>
      </c>
      <c r="Z77">
        <f t="shared" si="5"/>
        <v>4.3261816484189218E-2</v>
      </c>
    </row>
    <row r="78" spans="1:26" x14ac:dyDescent="0.3">
      <c r="A78">
        <v>20220330</v>
      </c>
      <c r="B78" s="5">
        <v>44650</v>
      </c>
      <c r="C78">
        <v>856843.4577830804</v>
      </c>
      <c r="D78">
        <v>878561.375</v>
      </c>
      <c r="E78" s="5">
        <v>44650</v>
      </c>
      <c r="F78" s="4">
        <v>20220330</v>
      </c>
      <c r="G78" s="5"/>
      <c r="H78" s="4">
        <v>796748.45883999998</v>
      </c>
      <c r="I78" s="4">
        <v>1005755.02266</v>
      </c>
      <c r="J78" s="4">
        <v>1022159.9435599999</v>
      </c>
      <c r="K78">
        <v>873713.91520000005</v>
      </c>
      <c r="L78" s="4">
        <v>828661.69883999997</v>
      </c>
      <c r="M78" s="4">
        <v>825465.91385999997</v>
      </c>
      <c r="N78" s="4">
        <v>861263.68400000001</v>
      </c>
      <c r="O78" s="4">
        <v>927439.54089999793</v>
      </c>
      <c r="P78" s="4">
        <v>1119108.7472399999</v>
      </c>
      <c r="Q78">
        <v>1487885.4721394333</v>
      </c>
      <c r="R78">
        <v>2</v>
      </c>
      <c r="S78" s="4">
        <v>0</v>
      </c>
      <c r="T78">
        <f t="shared" si="3"/>
        <v>-52516.096707454883</v>
      </c>
      <c r="U78">
        <f t="shared" si="4"/>
        <v>52518.096707454883</v>
      </c>
      <c r="V78">
        <v>1205106.5161190033</v>
      </c>
      <c r="W78">
        <v>3</v>
      </c>
      <c r="X78">
        <v>1200440.6325540801</v>
      </c>
      <c r="Y78">
        <v>2</v>
      </c>
      <c r="Z78">
        <f t="shared" si="5"/>
        <v>-3.4092072550642026E-2</v>
      </c>
    </row>
    <row r="79" spans="1:26" x14ac:dyDescent="0.3">
      <c r="A79">
        <v>20220331</v>
      </c>
      <c r="B79" s="5">
        <v>44651</v>
      </c>
      <c r="C79">
        <v>867697.95070627646</v>
      </c>
      <c r="D79">
        <v>883688.64449999796</v>
      </c>
      <c r="E79" s="5">
        <v>44651</v>
      </c>
      <c r="F79" s="4">
        <v>20220331</v>
      </c>
      <c r="G79" s="5"/>
      <c r="H79" s="4">
        <v>787913.75631999993</v>
      </c>
      <c r="I79" s="4">
        <v>1003160.12256</v>
      </c>
      <c r="J79" s="4">
        <v>1017759.68612</v>
      </c>
      <c r="K79">
        <v>872719.2352600001</v>
      </c>
      <c r="L79" s="4">
        <v>832598.22255999991</v>
      </c>
      <c r="M79" s="4">
        <v>827525.26823999803</v>
      </c>
      <c r="N79" s="4">
        <v>868469.59167999995</v>
      </c>
      <c r="O79" s="4">
        <v>928915.59263999795</v>
      </c>
      <c r="P79" s="4">
        <v>1133743.42392</v>
      </c>
      <c r="Q79">
        <v>1531886.489201834</v>
      </c>
      <c r="R79">
        <v>1</v>
      </c>
      <c r="S79" s="4">
        <v>0</v>
      </c>
      <c r="T79">
        <f t="shared" si="3"/>
        <v>44001.017062400701</v>
      </c>
      <c r="U79">
        <f t="shared" si="4"/>
        <v>-44000.017062400701</v>
      </c>
      <c r="V79">
        <v>1221528.7678142211</v>
      </c>
      <c r="W79">
        <v>3</v>
      </c>
      <c r="X79">
        <v>1218059.0532141025</v>
      </c>
      <c r="Y79">
        <v>2</v>
      </c>
      <c r="Z79">
        <f t="shared" si="5"/>
        <v>1.4676628049932906E-2</v>
      </c>
    </row>
    <row r="80" spans="1:26" x14ac:dyDescent="0.3">
      <c r="A80">
        <v>20220401</v>
      </c>
      <c r="B80" s="5">
        <v>44652</v>
      </c>
      <c r="C80">
        <v>865185.09744103102</v>
      </c>
      <c r="D80">
        <v>882663.46089999797</v>
      </c>
      <c r="E80" s="5">
        <v>44652</v>
      </c>
      <c r="G80" s="5" t="s">
        <v>9</v>
      </c>
      <c r="H80" s="4">
        <v>776750.33483999991</v>
      </c>
      <c r="I80" s="4">
        <v>1006679.34078</v>
      </c>
      <c r="J80" s="4">
        <v>1037945.9671599999</v>
      </c>
      <c r="K80">
        <v>878649.00600000005</v>
      </c>
      <c r="L80" s="4">
        <v>829467.82452000002</v>
      </c>
      <c r="M80" s="4">
        <v>824620.247199998</v>
      </c>
      <c r="N80" s="4">
        <v>866485.91312000004</v>
      </c>
      <c r="O80" s="4">
        <v>927745.80567999801</v>
      </c>
      <c r="P80" s="4">
        <v>1146773.4536599999</v>
      </c>
      <c r="Q80">
        <v>1547114.2550443786</v>
      </c>
      <c r="R80">
        <v>1</v>
      </c>
      <c r="S80" s="4">
        <v>0</v>
      </c>
      <c r="T80">
        <f t="shared" si="3"/>
        <v>15227.765842544613</v>
      </c>
      <c r="U80">
        <f t="shared" si="4"/>
        <v>-15226.765842544613</v>
      </c>
      <c r="V80">
        <v>1233671.4047208836</v>
      </c>
      <c r="W80">
        <v>1</v>
      </c>
      <c r="X80">
        <v>1218015.1133871931</v>
      </c>
      <c r="Y80">
        <v>2</v>
      </c>
      <c r="Z80">
        <f t="shared" si="5"/>
        <v>-3.607364256561149E-5</v>
      </c>
    </row>
    <row r="81" spans="1:26" x14ac:dyDescent="0.3">
      <c r="A81">
        <v>20220406</v>
      </c>
      <c r="B81" s="5">
        <v>44657</v>
      </c>
      <c r="C81">
        <v>854064.00819852413</v>
      </c>
      <c r="D81">
        <v>870229.89219999802</v>
      </c>
      <c r="E81" s="5">
        <v>44657</v>
      </c>
      <c r="F81" s="4">
        <v>20220406</v>
      </c>
      <c r="G81" s="5"/>
      <c r="H81" s="4">
        <v>755664.98439999996</v>
      </c>
      <c r="I81" s="4">
        <v>985337.94016</v>
      </c>
      <c r="J81" s="4">
        <v>1022993.7276000001</v>
      </c>
      <c r="K81">
        <v>850267.95588000002</v>
      </c>
      <c r="L81" s="4">
        <v>814978.30900000001</v>
      </c>
      <c r="M81" s="4">
        <v>810213.34909999801</v>
      </c>
      <c r="N81" s="4">
        <v>848212.82906000002</v>
      </c>
      <c r="O81" s="4">
        <v>895077.35045999789</v>
      </c>
      <c r="P81" s="4">
        <v>1118766.14166</v>
      </c>
      <c r="Q81">
        <v>1509295.0670322934</v>
      </c>
      <c r="R81">
        <v>4</v>
      </c>
      <c r="S81" s="4">
        <v>0</v>
      </c>
      <c r="T81">
        <f t="shared" si="3"/>
        <v>-37819.188012085157</v>
      </c>
      <c r="U81">
        <f t="shared" si="4"/>
        <v>37823.188012085157</v>
      </c>
      <c r="V81">
        <v>1233671.4047208836</v>
      </c>
      <c r="W81">
        <v>0</v>
      </c>
      <c r="X81">
        <v>1176453.6161161563</v>
      </c>
      <c r="Y81">
        <v>2</v>
      </c>
      <c r="Z81">
        <f t="shared" si="5"/>
        <v>-3.4122316557680353E-2</v>
      </c>
    </row>
    <row r="82" spans="1:26" x14ac:dyDescent="0.3">
      <c r="A82">
        <v>20220407</v>
      </c>
      <c r="B82" s="5">
        <v>44658</v>
      </c>
      <c r="C82">
        <v>858447.06468859897</v>
      </c>
      <c r="D82">
        <v>870797.55829999701</v>
      </c>
      <c r="E82" s="5">
        <v>44658</v>
      </c>
      <c r="F82" s="4">
        <v>20220407</v>
      </c>
      <c r="G82" s="5"/>
      <c r="H82" s="4">
        <v>738001.86990000005</v>
      </c>
      <c r="I82" s="4">
        <v>970659.08769999794</v>
      </c>
      <c r="J82" s="4">
        <v>1021226.71446</v>
      </c>
      <c r="K82">
        <v>862042.01397999993</v>
      </c>
      <c r="L82" s="4">
        <v>814941.57013999997</v>
      </c>
      <c r="M82" s="4">
        <v>809738.71485999809</v>
      </c>
      <c r="N82" s="4">
        <v>844368.52642000001</v>
      </c>
      <c r="O82" s="4">
        <v>874169.29737999791</v>
      </c>
      <c r="P82" s="4">
        <v>1110110.1296999999</v>
      </c>
      <c r="Q82">
        <v>1497433.3137939028</v>
      </c>
      <c r="R82">
        <v>4</v>
      </c>
      <c r="S82" s="4">
        <v>0</v>
      </c>
      <c r="T82">
        <f t="shared" si="3"/>
        <v>-11861.753238390666</v>
      </c>
      <c r="U82">
        <f t="shared" si="4"/>
        <v>11865.753238390666</v>
      </c>
      <c r="V82">
        <v>1199024.4889564794</v>
      </c>
      <c r="W82">
        <v>1</v>
      </c>
      <c r="X82">
        <v>1150062.597659929</v>
      </c>
      <c r="Y82">
        <v>2</v>
      </c>
      <c r="Z82">
        <f t="shared" si="5"/>
        <v>-2.243268930852747E-2</v>
      </c>
    </row>
    <row r="83" spans="1:26" x14ac:dyDescent="0.3">
      <c r="A83">
        <v>20220408</v>
      </c>
      <c r="B83" s="5">
        <v>44659</v>
      </c>
      <c r="C83">
        <v>831914.18281320378</v>
      </c>
      <c r="D83">
        <v>851961.96399999701</v>
      </c>
      <c r="E83" s="5">
        <v>44659</v>
      </c>
      <c r="F83" s="4">
        <v>20220408</v>
      </c>
      <c r="G83" s="5"/>
      <c r="H83" s="4">
        <v>719304.68130000005</v>
      </c>
      <c r="I83" s="4">
        <v>950561.74965999799</v>
      </c>
      <c r="J83" s="4">
        <v>1005298.0507200001</v>
      </c>
      <c r="K83">
        <v>811766.18213999993</v>
      </c>
      <c r="L83" s="4">
        <v>791952.44874000002</v>
      </c>
      <c r="M83" s="4">
        <v>788661.03501999797</v>
      </c>
      <c r="N83" s="4">
        <v>819414.32805999997</v>
      </c>
      <c r="O83" s="4">
        <v>841051.27805999795</v>
      </c>
      <c r="P83" s="4">
        <v>1056834.4788200001</v>
      </c>
      <c r="Q83">
        <v>1425509.5732053469</v>
      </c>
      <c r="R83">
        <v>4</v>
      </c>
      <c r="S83" s="4">
        <v>0</v>
      </c>
      <c r="T83">
        <f t="shared" si="3"/>
        <v>-71923.740588555811</v>
      </c>
      <c r="U83">
        <f t="shared" si="4"/>
        <v>71927.740588555811</v>
      </c>
      <c r="V83">
        <v>1141433.5437012182</v>
      </c>
      <c r="W83">
        <v>3</v>
      </c>
      <c r="X83">
        <v>1094823.9873251582</v>
      </c>
      <c r="Y83">
        <v>4</v>
      </c>
      <c r="Z83">
        <f t="shared" si="5"/>
        <v>-4.8030959747031692E-2</v>
      </c>
    </row>
    <row r="84" spans="1:26" x14ac:dyDescent="0.3">
      <c r="A84">
        <v>20220411</v>
      </c>
      <c r="B84" s="5">
        <v>44662</v>
      </c>
      <c r="C84">
        <v>848113.21578094247</v>
      </c>
      <c r="D84">
        <v>855350.77649999596</v>
      </c>
      <c r="E84" s="5">
        <v>44662</v>
      </c>
      <c r="F84" s="4">
        <v>20220411</v>
      </c>
      <c r="G84" s="5"/>
      <c r="H84" s="4">
        <v>712826.77093999996</v>
      </c>
      <c r="I84" s="4">
        <v>961372.66175999807</v>
      </c>
      <c r="J84" s="4">
        <v>996564.05047999998</v>
      </c>
      <c r="K84">
        <v>817070.00878000003</v>
      </c>
      <c r="L84" s="4">
        <v>796926.10536000005</v>
      </c>
      <c r="M84" s="4">
        <v>793407.55853999802</v>
      </c>
      <c r="N84" s="4">
        <v>826383.16443999996</v>
      </c>
      <c r="O84" s="4">
        <v>822148.27655999805</v>
      </c>
      <c r="P84" s="4">
        <v>1068389.1696799998</v>
      </c>
      <c r="Q84">
        <v>1441103.7751967681</v>
      </c>
      <c r="R84">
        <v>4</v>
      </c>
      <c r="S84" s="4">
        <v>0</v>
      </c>
      <c r="T84">
        <f t="shared" si="3"/>
        <v>15594.201991421171</v>
      </c>
      <c r="U84">
        <f t="shared" si="4"/>
        <v>-15590.201991421171</v>
      </c>
      <c r="V84">
        <v>1148744.7462107507</v>
      </c>
      <c r="W84">
        <v>3</v>
      </c>
      <c r="X84">
        <v>1106800.7125123725</v>
      </c>
      <c r="Y84">
        <v>4</v>
      </c>
      <c r="Z84">
        <f t="shared" si="5"/>
        <v>1.093940699680458E-2</v>
      </c>
    </row>
    <row r="85" spans="1:26" x14ac:dyDescent="0.3">
      <c r="A85">
        <v>20220412</v>
      </c>
      <c r="B85" s="5">
        <v>44663</v>
      </c>
      <c r="C85">
        <v>839935.70815438277</v>
      </c>
      <c r="D85">
        <v>847591.16759999702</v>
      </c>
      <c r="E85" s="5">
        <v>44663</v>
      </c>
      <c r="F85" s="4">
        <v>20220412</v>
      </c>
      <c r="G85" s="5"/>
      <c r="H85" s="4">
        <v>731620.32140000002</v>
      </c>
      <c r="I85" s="4">
        <v>988426.32331999799</v>
      </c>
      <c r="J85" s="4">
        <v>969464.38807999995</v>
      </c>
      <c r="K85">
        <v>793208.24400000006</v>
      </c>
      <c r="L85" s="4">
        <v>786207.87050000194</v>
      </c>
      <c r="M85" s="4">
        <v>782991.02943999809</v>
      </c>
      <c r="N85" s="4">
        <v>814122.19148000004</v>
      </c>
      <c r="O85" s="4">
        <v>820956.58605999802</v>
      </c>
      <c r="P85" s="4">
        <v>1031573.8485999999</v>
      </c>
      <c r="Q85">
        <v>1460940.005002328</v>
      </c>
      <c r="R85">
        <v>1</v>
      </c>
      <c r="S85" s="4">
        <v>0</v>
      </c>
      <c r="T85">
        <f t="shared" si="3"/>
        <v>19836.229805559851</v>
      </c>
      <c r="U85">
        <f t="shared" si="4"/>
        <v>-19835.229805559851</v>
      </c>
      <c r="V85">
        <v>1109144.6117006962</v>
      </c>
      <c r="W85">
        <v>4</v>
      </c>
      <c r="X85">
        <v>1068647.6043419607</v>
      </c>
      <c r="Y85">
        <v>4</v>
      </c>
      <c r="Z85">
        <f t="shared" si="5"/>
        <v>-3.4471524764206618E-2</v>
      </c>
    </row>
    <row r="86" spans="1:26" x14ac:dyDescent="0.3">
      <c r="A86">
        <v>20220413</v>
      </c>
      <c r="B86" s="5">
        <v>44664</v>
      </c>
      <c r="C86">
        <v>850438.26424914505</v>
      </c>
      <c r="D86">
        <v>855280.05379999697</v>
      </c>
      <c r="E86" s="5">
        <v>44664</v>
      </c>
      <c r="F86" s="4">
        <v>20220413</v>
      </c>
      <c r="G86" s="5"/>
      <c r="H86" s="4">
        <v>762011.6703</v>
      </c>
      <c r="I86" s="4">
        <v>1051564.873419998</v>
      </c>
      <c r="J86" s="4">
        <v>979242.03992000001</v>
      </c>
      <c r="K86">
        <v>830617.62291999999</v>
      </c>
      <c r="L86" s="4">
        <v>796243.07224000199</v>
      </c>
      <c r="M86" s="4">
        <v>792436.385179998</v>
      </c>
      <c r="N86" s="4">
        <v>821901.04</v>
      </c>
      <c r="O86" s="4">
        <v>859919.18279999797</v>
      </c>
      <c r="P86" s="4">
        <v>1064184.4164200001</v>
      </c>
      <c r="Q86">
        <v>1468829.4179946072</v>
      </c>
      <c r="R86">
        <v>1</v>
      </c>
      <c r="S86" s="4">
        <v>0</v>
      </c>
      <c r="T86">
        <f t="shared" si="3"/>
        <v>7889.4129922792781</v>
      </c>
      <c r="U86">
        <f t="shared" si="4"/>
        <v>-7888.4129922792781</v>
      </c>
      <c r="V86">
        <v>1109144.6117006962</v>
      </c>
      <c r="W86">
        <v>0</v>
      </c>
      <c r="X86">
        <v>1102456.2733975523</v>
      </c>
      <c r="Y86">
        <v>4</v>
      </c>
      <c r="Z86">
        <f t="shared" si="5"/>
        <v>3.1636873482170834E-2</v>
      </c>
    </row>
    <row r="87" spans="1:26" x14ac:dyDescent="0.3">
      <c r="A87">
        <v>20220414</v>
      </c>
      <c r="B87" s="5">
        <v>44665</v>
      </c>
      <c r="C87">
        <v>849852.31228507741</v>
      </c>
      <c r="D87">
        <v>854901.91199999698</v>
      </c>
      <c r="E87" s="5">
        <v>44665</v>
      </c>
      <c r="F87" s="4">
        <v>20220414</v>
      </c>
      <c r="G87" s="5"/>
      <c r="H87" s="4">
        <v>740185.51982000005</v>
      </c>
      <c r="I87" s="4">
        <v>1018776.7129599979</v>
      </c>
      <c r="J87" s="4">
        <v>967679.51424000005</v>
      </c>
      <c r="K87">
        <v>810718.84570000006</v>
      </c>
      <c r="L87" s="4">
        <v>794661.43200000201</v>
      </c>
      <c r="M87" s="4">
        <v>791601.45889999799</v>
      </c>
      <c r="N87" s="4">
        <v>821639.56660000002</v>
      </c>
      <c r="O87" s="4">
        <v>863672.67451999802</v>
      </c>
      <c r="P87" s="4">
        <v>1071321.2588800001</v>
      </c>
      <c r="Q87">
        <v>1429769.3450102627</v>
      </c>
      <c r="R87">
        <v>1</v>
      </c>
      <c r="S87" s="4">
        <v>0</v>
      </c>
      <c r="T87">
        <f t="shared" si="3"/>
        <v>-39060.072984344559</v>
      </c>
      <c r="U87">
        <f t="shared" si="4"/>
        <v>39061.072984344559</v>
      </c>
      <c r="V87">
        <v>1109144.6117006962</v>
      </c>
      <c r="W87">
        <v>0</v>
      </c>
      <c r="X87">
        <v>1109693.3752873098</v>
      </c>
      <c r="Y87">
        <v>4</v>
      </c>
      <c r="Z87">
        <f t="shared" si="5"/>
        <v>6.5645251103285231E-3</v>
      </c>
    </row>
    <row r="88" spans="1:26" x14ac:dyDescent="0.3">
      <c r="A88">
        <v>20220415</v>
      </c>
      <c r="B88" s="5">
        <v>44666</v>
      </c>
      <c r="C88">
        <v>845301.35315279081</v>
      </c>
      <c r="D88">
        <v>855097.10459999705</v>
      </c>
      <c r="E88" s="5">
        <v>44666</v>
      </c>
      <c r="F88" s="4">
        <v>20220415</v>
      </c>
      <c r="G88" s="5"/>
      <c r="H88" s="4">
        <v>746293.55310000002</v>
      </c>
      <c r="I88" s="4">
        <v>1033945.240319998</v>
      </c>
      <c r="J88" s="4">
        <v>978194.48090000008</v>
      </c>
      <c r="K88">
        <v>807208.5625</v>
      </c>
      <c r="L88" s="4">
        <v>799847.26938000205</v>
      </c>
      <c r="M88" s="4">
        <v>796677.36191999796</v>
      </c>
      <c r="N88" s="4">
        <v>826185.62702000001</v>
      </c>
      <c r="O88" s="4">
        <v>847932.66835999803</v>
      </c>
      <c r="P88" s="4">
        <v>1057918.16038</v>
      </c>
      <c r="Q88">
        <v>1419326.5509185505</v>
      </c>
      <c r="R88">
        <v>2</v>
      </c>
      <c r="S88" s="4">
        <v>0</v>
      </c>
      <c r="T88">
        <f t="shared" si="3"/>
        <v>-10442.794091712218</v>
      </c>
      <c r="U88">
        <f t="shared" si="4"/>
        <v>10444.794091712218</v>
      </c>
      <c r="V88">
        <v>1115502.8927415332</v>
      </c>
      <c r="W88">
        <v>1</v>
      </c>
      <c r="X88">
        <v>1095801.7730628983</v>
      </c>
      <c r="Y88">
        <v>4</v>
      </c>
      <c r="Z88">
        <f t="shared" si="5"/>
        <v>-1.2518415026867021E-2</v>
      </c>
    </row>
    <row r="89" spans="1:26" x14ac:dyDescent="0.3">
      <c r="A89">
        <v>20220418</v>
      </c>
      <c r="B89" s="5">
        <v>44669</v>
      </c>
      <c r="C89">
        <v>838900.73130671796</v>
      </c>
      <c r="D89">
        <v>854587.05249999801</v>
      </c>
      <c r="E89" s="5">
        <v>44669</v>
      </c>
      <c r="F89" s="4">
        <v>20220418</v>
      </c>
      <c r="G89" s="5"/>
      <c r="H89" s="4">
        <v>743027.21569999994</v>
      </c>
      <c r="I89" s="4">
        <v>1024165.9240199979</v>
      </c>
      <c r="J89" s="4">
        <v>981386.15035999997</v>
      </c>
      <c r="K89">
        <v>807297.28222000005</v>
      </c>
      <c r="L89" s="4">
        <v>796522.68174000201</v>
      </c>
      <c r="M89" s="4">
        <v>793126.73915999592</v>
      </c>
      <c r="N89" s="4">
        <v>823084.79444000009</v>
      </c>
      <c r="O89" s="4">
        <v>854020.41971999803</v>
      </c>
      <c r="P89" s="4">
        <v>1044157.67426</v>
      </c>
      <c r="Q89">
        <v>1416408.0612138098</v>
      </c>
      <c r="R89">
        <v>2</v>
      </c>
      <c r="S89" s="4">
        <v>0</v>
      </c>
      <c r="T89">
        <f t="shared" si="3"/>
        <v>-2918.4897047406994</v>
      </c>
      <c r="U89">
        <f t="shared" si="4"/>
        <v>2920.4897047406994</v>
      </c>
      <c r="V89">
        <v>1128092.9592706703</v>
      </c>
      <c r="W89">
        <v>1</v>
      </c>
      <c r="X89">
        <v>1081539.7497454423</v>
      </c>
      <c r="Y89">
        <v>4</v>
      </c>
      <c r="Z89">
        <f t="shared" si="5"/>
        <v>-1.3015148969500144E-2</v>
      </c>
    </row>
    <row r="90" spans="1:26" x14ac:dyDescent="0.3">
      <c r="A90">
        <v>20220419</v>
      </c>
      <c r="B90" s="5">
        <v>44670</v>
      </c>
      <c r="C90">
        <v>825880.15305610641</v>
      </c>
      <c r="D90">
        <v>849951.98339999805</v>
      </c>
      <c r="E90" s="5">
        <v>44670</v>
      </c>
      <c r="F90" s="4">
        <v>20220419</v>
      </c>
      <c r="G90" s="5"/>
      <c r="H90" s="4">
        <v>732147.73257999995</v>
      </c>
      <c r="I90" s="4">
        <v>1007380.7798799981</v>
      </c>
      <c r="J90" s="4">
        <v>979859.81454000005</v>
      </c>
      <c r="K90">
        <v>783713.27658000006</v>
      </c>
      <c r="L90" s="4">
        <v>790782.77892000205</v>
      </c>
      <c r="M90" s="4">
        <v>786937.90401999594</v>
      </c>
      <c r="N90" s="4">
        <v>814824.48971999798</v>
      </c>
      <c r="O90" s="4">
        <v>832688.23431999807</v>
      </c>
      <c r="P90" s="4">
        <v>1051575.9259399981</v>
      </c>
      <c r="Q90">
        <v>1369962.1047313286</v>
      </c>
      <c r="R90">
        <v>2</v>
      </c>
      <c r="S90" s="4">
        <v>0</v>
      </c>
      <c r="T90">
        <f t="shared" si="3"/>
        <v>-46445.956482481211</v>
      </c>
      <c r="U90">
        <f t="shared" si="4"/>
        <v>46447.956482481211</v>
      </c>
      <c r="V90">
        <v>1140562.2342821474</v>
      </c>
      <c r="W90">
        <v>3</v>
      </c>
      <c r="X90">
        <v>1089230.4725242585</v>
      </c>
      <c r="Y90">
        <v>4</v>
      </c>
      <c r="Z90">
        <f t="shared" si="5"/>
        <v>7.1109016387297611E-3</v>
      </c>
    </row>
    <row r="91" spans="1:26" x14ac:dyDescent="0.3">
      <c r="A91">
        <v>20220420</v>
      </c>
      <c r="B91" s="5">
        <v>44671</v>
      </c>
      <c r="C91">
        <v>810659.18183528236</v>
      </c>
      <c r="D91">
        <v>831107.874599998</v>
      </c>
      <c r="E91" s="5">
        <v>44671</v>
      </c>
      <c r="F91" s="4">
        <v>20220420</v>
      </c>
      <c r="G91" s="5"/>
      <c r="H91" s="4">
        <v>700032.19227999996</v>
      </c>
      <c r="I91" s="4">
        <v>952751.18969999789</v>
      </c>
      <c r="J91" s="4">
        <v>940807.94417999999</v>
      </c>
      <c r="K91">
        <v>772566.01743999997</v>
      </c>
      <c r="L91" s="4">
        <v>769134.182580002</v>
      </c>
      <c r="M91" s="4">
        <v>765285.55393999605</v>
      </c>
      <c r="N91" s="4">
        <v>791361.13483999996</v>
      </c>
      <c r="O91" s="4">
        <v>795075.78629999806</v>
      </c>
      <c r="P91" s="4">
        <v>1024396.37448</v>
      </c>
      <c r="Q91">
        <v>1447269.2921148278</v>
      </c>
      <c r="R91">
        <v>1</v>
      </c>
      <c r="S91" s="4">
        <v>0</v>
      </c>
      <c r="T91">
        <f t="shared" si="3"/>
        <v>77307.187383499229</v>
      </c>
      <c r="U91">
        <f t="shared" si="4"/>
        <v>-77306.187383499229</v>
      </c>
      <c r="V91">
        <v>1126222.3806178493</v>
      </c>
      <c r="W91">
        <v>3</v>
      </c>
      <c r="X91">
        <v>1150695.3623197256</v>
      </c>
      <c r="Y91">
        <v>1</v>
      </c>
      <c r="Z91">
        <f t="shared" si="5"/>
        <v>5.6429645833378138E-2</v>
      </c>
    </row>
    <row r="92" spans="1:26" x14ac:dyDescent="0.3">
      <c r="A92">
        <v>20220421</v>
      </c>
      <c r="B92" s="5">
        <v>44672</v>
      </c>
      <c r="C92">
        <v>814180.68532117479</v>
      </c>
      <c r="D92">
        <v>831292.63659999799</v>
      </c>
      <c r="E92" s="5">
        <v>44672</v>
      </c>
      <c r="F92" s="4">
        <v>20220421</v>
      </c>
      <c r="G92" s="5"/>
      <c r="H92" s="4">
        <v>725751.16664000007</v>
      </c>
      <c r="I92" s="4">
        <v>994974.44421999808</v>
      </c>
      <c r="J92" s="4">
        <v>973778.64118000004</v>
      </c>
      <c r="K92">
        <v>811793.34886000003</v>
      </c>
      <c r="L92" s="4">
        <v>767499.86564000207</v>
      </c>
      <c r="M92" s="4">
        <v>763817.063059996</v>
      </c>
      <c r="N92" s="4">
        <v>788032.55733999796</v>
      </c>
      <c r="O92" s="4">
        <v>816712.61939999799</v>
      </c>
      <c r="P92" s="4">
        <v>1027100.72542</v>
      </c>
      <c r="Q92">
        <v>1418516.6269688858</v>
      </c>
      <c r="R92">
        <v>1</v>
      </c>
      <c r="S92" s="4">
        <v>0</v>
      </c>
      <c r="T92">
        <f t="shared" si="3"/>
        <v>-28752.66514594201</v>
      </c>
      <c r="U92">
        <f t="shared" si="4"/>
        <v>28753.66514594201</v>
      </c>
      <c r="V92">
        <v>1126222.3806178493</v>
      </c>
      <c r="W92">
        <v>0</v>
      </c>
      <c r="X92">
        <v>1127834.9797085719</v>
      </c>
      <c r="Y92">
        <v>1</v>
      </c>
      <c r="Z92">
        <f t="shared" si="5"/>
        <v>-1.9866580990705162E-2</v>
      </c>
    </row>
    <row r="93" spans="1:26" x14ac:dyDescent="0.3">
      <c r="A93">
        <v>20220422</v>
      </c>
      <c r="B93" s="5">
        <v>44673</v>
      </c>
      <c r="C93">
        <v>773930.03478095192</v>
      </c>
      <c r="D93">
        <v>810811.16799999704</v>
      </c>
      <c r="E93" s="5">
        <v>44673</v>
      </c>
      <c r="F93" s="4">
        <v>20220422</v>
      </c>
      <c r="G93" s="5"/>
      <c r="H93" s="4">
        <v>692601.33935999998</v>
      </c>
      <c r="I93" s="4">
        <v>928254.97471999808</v>
      </c>
      <c r="J93" s="4">
        <v>962146.14727999992</v>
      </c>
      <c r="K93">
        <v>775725.87774000003</v>
      </c>
      <c r="L93" s="4">
        <v>732410.94540000206</v>
      </c>
      <c r="M93" s="4">
        <v>728926.72253999603</v>
      </c>
      <c r="N93" s="4">
        <v>747160.81677999801</v>
      </c>
      <c r="O93" s="4">
        <v>766959.598899998</v>
      </c>
      <c r="P93" s="4">
        <v>971521.20451999991</v>
      </c>
      <c r="Q93">
        <v>1418516.6269688858</v>
      </c>
      <c r="R93">
        <v>0</v>
      </c>
      <c r="S93" s="4">
        <v>0</v>
      </c>
      <c r="T93">
        <f t="shared" si="3"/>
        <v>0</v>
      </c>
      <c r="U93">
        <f t="shared" si="4"/>
        <v>0</v>
      </c>
      <c r="V93">
        <v>1126222.3806178493</v>
      </c>
      <c r="W93">
        <v>0</v>
      </c>
      <c r="X93">
        <v>1055017.7052228849</v>
      </c>
      <c r="Y93">
        <v>1</v>
      </c>
      <c r="Z93">
        <f t="shared" si="5"/>
        <v>-6.4563766681986337E-2</v>
      </c>
    </row>
    <row r="94" spans="1:26" x14ac:dyDescent="0.3">
      <c r="A94">
        <v>20220425</v>
      </c>
      <c r="B94" s="5">
        <v>44676</v>
      </c>
      <c r="C94">
        <v>767670.48865964357</v>
      </c>
      <c r="D94">
        <v>792899.416099997</v>
      </c>
      <c r="E94" s="5">
        <v>44676</v>
      </c>
      <c r="F94" s="4">
        <v>20220425</v>
      </c>
      <c r="G94" s="5"/>
      <c r="H94" s="4">
        <v>674573.70325999998</v>
      </c>
      <c r="I94" s="4">
        <v>925787.21141999797</v>
      </c>
      <c r="J94" s="4">
        <v>945495.29582</v>
      </c>
      <c r="K94">
        <v>742886.14983999997</v>
      </c>
      <c r="L94" s="4">
        <v>712084.21320000198</v>
      </c>
      <c r="M94" s="4">
        <v>708818.44631999603</v>
      </c>
      <c r="N94" s="4">
        <v>727029.52662000002</v>
      </c>
      <c r="O94" s="4">
        <v>746684.09317999799</v>
      </c>
      <c r="P94" s="4">
        <v>956585.19705999794</v>
      </c>
      <c r="Q94">
        <v>1418516.6269688858</v>
      </c>
      <c r="R94">
        <v>0</v>
      </c>
      <c r="S94" s="4">
        <v>0</v>
      </c>
      <c r="T94">
        <f t="shared" si="3"/>
        <v>0</v>
      </c>
      <c r="U94">
        <f t="shared" si="4"/>
        <v>0</v>
      </c>
      <c r="V94">
        <v>1166754.8724055947</v>
      </c>
      <c r="W94">
        <v>1</v>
      </c>
      <c r="X94">
        <v>1092982.5534319782</v>
      </c>
      <c r="Y94">
        <v>1</v>
      </c>
      <c r="Z94">
        <f t="shared" si="5"/>
        <v>3.5985034204779345E-2</v>
      </c>
    </row>
    <row r="95" spans="1:26" x14ac:dyDescent="0.3">
      <c r="A95">
        <v>20220426</v>
      </c>
      <c r="B95" s="5">
        <v>44677</v>
      </c>
      <c r="C95">
        <v>790260.72812943091</v>
      </c>
      <c r="D95">
        <v>806503.55619999499</v>
      </c>
      <c r="E95" s="5">
        <v>44677</v>
      </c>
      <c r="F95" s="4">
        <v>20220426</v>
      </c>
      <c r="G95" s="5"/>
      <c r="H95" s="4">
        <v>698221.40915999806</v>
      </c>
      <c r="I95" s="4">
        <v>967798.95239999797</v>
      </c>
      <c r="J95" s="4">
        <v>1003888.34934</v>
      </c>
      <c r="K95">
        <v>766646.99927999999</v>
      </c>
      <c r="L95" s="4">
        <v>733820.02324000199</v>
      </c>
      <c r="M95" s="4">
        <v>729818.38411999599</v>
      </c>
      <c r="N95" s="4">
        <v>751508.84357999999</v>
      </c>
      <c r="O95" s="4">
        <v>769692.55223999801</v>
      </c>
      <c r="P95" s="4">
        <v>989566.88633999811</v>
      </c>
      <c r="Q95">
        <v>1487000.5438067995</v>
      </c>
      <c r="R95">
        <v>2</v>
      </c>
      <c r="S95" s="4">
        <v>0</v>
      </c>
      <c r="T95">
        <f t="shared" si="3"/>
        <v>68483.916837913683</v>
      </c>
      <c r="U95">
        <f t="shared" si="4"/>
        <v>-68481.916837913683</v>
      </c>
      <c r="V95">
        <v>1281280.6434777698</v>
      </c>
      <c r="W95">
        <v>1</v>
      </c>
      <c r="X95">
        <v>1200264.9362255968</v>
      </c>
      <c r="Y95">
        <v>1</v>
      </c>
      <c r="Z95">
        <f t="shared" si="5"/>
        <v>9.8155622390083574E-2</v>
      </c>
    </row>
    <row r="96" spans="1:26" x14ac:dyDescent="0.3">
      <c r="A96">
        <v>20220427</v>
      </c>
      <c r="B96" s="5">
        <v>44678</v>
      </c>
      <c r="C96">
        <v>795435.35537722241</v>
      </c>
      <c r="D96">
        <v>805534.10689999396</v>
      </c>
      <c r="E96" s="5">
        <v>44678</v>
      </c>
      <c r="F96" s="4">
        <v>20220427</v>
      </c>
      <c r="G96" s="5"/>
      <c r="H96" s="4">
        <v>697864.14079999807</v>
      </c>
      <c r="I96" s="4">
        <v>970980.26593999809</v>
      </c>
      <c r="J96" s="4">
        <v>1018272.34292</v>
      </c>
      <c r="K96">
        <v>783388.49106000003</v>
      </c>
      <c r="L96" s="4">
        <v>735827.20888000005</v>
      </c>
      <c r="M96" s="4">
        <v>732523.42119999602</v>
      </c>
      <c r="N96" s="4">
        <v>753970.09632000001</v>
      </c>
      <c r="O96" s="4">
        <v>775191.09643999801</v>
      </c>
      <c r="P96" s="4">
        <v>989929.38581999799</v>
      </c>
      <c r="Q96">
        <v>1520560.7330044454</v>
      </c>
      <c r="R96">
        <v>1</v>
      </c>
      <c r="S96" s="4">
        <v>0</v>
      </c>
      <c r="T96">
        <f t="shared" si="3"/>
        <v>33560.189197645988</v>
      </c>
      <c r="U96">
        <f t="shared" si="4"/>
        <v>-33559.189197645988</v>
      </c>
      <c r="V96">
        <v>1288919.9877239747</v>
      </c>
      <c r="W96">
        <v>3</v>
      </c>
      <c r="X96">
        <v>1227353.6036845115</v>
      </c>
      <c r="Y96">
        <v>1</v>
      </c>
      <c r="Z96">
        <f t="shared" si="5"/>
        <v>2.2568906781613433E-2</v>
      </c>
    </row>
    <row r="97" spans="1:26" x14ac:dyDescent="0.3">
      <c r="A97">
        <v>20220428</v>
      </c>
      <c r="B97" s="5">
        <v>44679</v>
      </c>
      <c r="C97">
        <v>814721.48100369854</v>
      </c>
      <c r="D97">
        <v>816133.92639999697</v>
      </c>
      <c r="E97" s="5">
        <v>44679</v>
      </c>
      <c r="F97" s="4">
        <v>20220428</v>
      </c>
      <c r="G97" s="5"/>
      <c r="H97" s="4">
        <v>708868.33483999805</v>
      </c>
      <c r="I97" s="4">
        <v>980814.84933999798</v>
      </c>
      <c r="J97" s="4">
        <v>1080197.4704199999</v>
      </c>
      <c r="K97">
        <v>826300.63907999999</v>
      </c>
      <c r="L97" s="4">
        <v>756142.92033999995</v>
      </c>
      <c r="M97" s="4">
        <v>752521.77443999599</v>
      </c>
      <c r="N97" s="4">
        <v>776070.23685999995</v>
      </c>
      <c r="O97" s="4">
        <v>797761.09003999806</v>
      </c>
      <c r="P97" s="4">
        <v>1045960.0123199981</v>
      </c>
      <c r="Q97">
        <v>1623376.1933486816</v>
      </c>
      <c r="R97">
        <v>1</v>
      </c>
      <c r="S97" s="4">
        <v>0</v>
      </c>
      <c r="T97">
        <f t="shared" si="3"/>
        <v>102815.46034423611</v>
      </c>
      <c r="U97">
        <f t="shared" si="4"/>
        <v>-102814.46034423611</v>
      </c>
      <c r="V97">
        <v>1288919.9877239747</v>
      </c>
      <c r="W97">
        <v>0</v>
      </c>
      <c r="X97">
        <v>1310342.8742817144</v>
      </c>
      <c r="Y97">
        <v>1</v>
      </c>
      <c r="Z97">
        <f t="shared" si="5"/>
        <v>6.76164312778888E-2</v>
      </c>
    </row>
    <row r="98" spans="1:26" x14ac:dyDescent="0.3">
      <c r="A98">
        <v>20220429</v>
      </c>
      <c r="B98" s="5">
        <v>44680</v>
      </c>
      <c r="C98">
        <v>813484.73379553505</v>
      </c>
      <c r="D98">
        <v>819860.59889998799</v>
      </c>
      <c r="E98" s="5">
        <v>44680</v>
      </c>
      <c r="G98" s="5"/>
      <c r="H98" s="4">
        <v>728068.89215999807</v>
      </c>
      <c r="I98" s="4">
        <v>974037.72979999799</v>
      </c>
      <c r="J98" s="4">
        <v>1152744.4966800001</v>
      </c>
      <c r="K98">
        <v>870383.52831999992</v>
      </c>
      <c r="L98" s="4">
        <v>768307.41730000009</v>
      </c>
      <c r="M98" s="4">
        <v>762961.48373999598</v>
      </c>
      <c r="N98" s="4">
        <v>784257.55092000007</v>
      </c>
      <c r="O98" s="4">
        <v>811487.30303999805</v>
      </c>
      <c r="P98" s="4">
        <v>1091982.845959998</v>
      </c>
      <c r="Q98">
        <v>1623376.1933486816</v>
      </c>
      <c r="R98">
        <v>0</v>
      </c>
      <c r="S98" s="4">
        <v>0</v>
      </c>
      <c r="T98">
        <f t="shared" si="3"/>
        <v>0</v>
      </c>
      <c r="U98">
        <f t="shared" si="4"/>
        <v>0</v>
      </c>
      <c r="V98">
        <v>1288919.9877239747</v>
      </c>
      <c r="W98">
        <v>0</v>
      </c>
      <c r="X98">
        <v>1368385.7792706576</v>
      </c>
      <c r="Y98">
        <v>1</v>
      </c>
      <c r="Z98">
        <f t="shared" si="5"/>
        <v>4.4295967206873461E-2</v>
      </c>
    </row>
    <row r="99" spans="1:26" x14ac:dyDescent="0.3">
      <c r="A99">
        <v>20220505</v>
      </c>
      <c r="B99" s="5">
        <v>44686</v>
      </c>
      <c r="C99">
        <v>792903.57003050786</v>
      </c>
      <c r="D99">
        <v>812839.44009998394</v>
      </c>
      <c r="E99" s="5">
        <v>44686</v>
      </c>
      <c r="F99" s="4">
        <v>20220505</v>
      </c>
      <c r="G99" s="5"/>
      <c r="H99" s="4">
        <v>738368.83079999802</v>
      </c>
      <c r="I99" s="4">
        <v>976612.95709999802</v>
      </c>
      <c r="J99" s="4">
        <v>1095460.2822400001</v>
      </c>
      <c r="K99">
        <v>888572.30649999995</v>
      </c>
      <c r="L99" s="4">
        <v>757921.55363999994</v>
      </c>
      <c r="M99" s="4">
        <v>752826.34383999603</v>
      </c>
      <c r="N99" s="4">
        <v>764556.24510000006</v>
      </c>
      <c r="O99" s="4">
        <v>809125.72585999803</v>
      </c>
      <c r="P99" s="4">
        <v>1085600.0984599979</v>
      </c>
      <c r="Q99">
        <v>1613883.7604599823</v>
      </c>
      <c r="R99">
        <v>4</v>
      </c>
      <c r="S99" s="4">
        <v>0</v>
      </c>
      <c r="T99">
        <f t="shared" si="3"/>
        <v>-9492.4328886992298</v>
      </c>
      <c r="U99">
        <f t="shared" si="4"/>
        <v>9496.4328886992298</v>
      </c>
      <c r="V99">
        <v>1296135.1514705049</v>
      </c>
      <c r="W99">
        <v>1</v>
      </c>
      <c r="X99">
        <v>1368385.7792706576</v>
      </c>
      <c r="Y99">
        <v>0</v>
      </c>
      <c r="Z99">
        <f t="shared" si="5"/>
        <v>0</v>
      </c>
    </row>
    <row r="100" spans="1:26" x14ac:dyDescent="0.3">
      <c r="A100">
        <v>20220506</v>
      </c>
      <c r="B100" s="5">
        <v>44687</v>
      </c>
      <c r="C100">
        <v>786525.45371318248</v>
      </c>
      <c r="D100">
        <v>814473.60349998297</v>
      </c>
      <c r="E100" s="5">
        <v>44687</v>
      </c>
      <c r="F100" s="4">
        <v>20220506</v>
      </c>
      <c r="G100" s="5"/>
      <c r="H100" s="4">
        <v>753613.28717999801</v>
      </c>
      <c r="I100" s="4">
        <v>996758.23955999804</v>
      </c>
      <c r="J100" s="4">
        <v>1084638.04886</v>
      </c>
      <c r="K100">
        <v>891308.21708000009</v>
      </c>
      <c r="L100" s="4">
        <v>759379.09236000001</v>
      </c>
      <c r="M100" s="4">
        <v>755103.54551999597</v>
      </c>
      <c r="N100" s="4">
        <v>764767.44759999996</v>
      </c>
      <c r="O100" s="4">
        <v>805662.23949999805</v>
      </c>
      <c r="P100" s="4">
        <v>1092391.080459998</v>
      </c>
      <c r="Q100">
        <v>1624002.7509472452</v>
      </c>
      <c r="R100">
        <v>4</v>
      </c>
      <c r="S100" s="4">
        <v>0</v>
      </c>
      <c r="T100">
        <f t="shared" si="3"/>
        <v>10118.990487262839</v>
      </c>
      <c r="U100">
        <f t="shared" si="4"/>
        <v>-10114.990487262839</v>
      </c>
      <c r="V100">
        <v>1249080.4523937688</v>
      </c>
      <c r="W100">
        <v>1</v>
      </c>
      <c r="X100">
        <v>1368385.7792706576</v>
      </c>
      <c r="Y100">
        <v>0</v>
      </c>
      <c r="Z100">
        <f t="shared" si="5"/>
        <v>0</v>
      </c>
    </row>
    <row r="101" spans="1:26" x14ac:dyDescent="0.3">
      <c r="A101">
        <v>20220509</v>
      </c>
      <c r="B101" s="5">
        <v>44690</v>
      </c>
      <c r="C101">
        <v>795119.8173459064</v>
      </c>
      <c r="D101">
        <v>821885.30979998305</v>
      </c>
      <c r="E101" s="5">
        <v>44690</v>
      </c>
      <c r="F101" s="4">
        <v>20220509</v>
      </c>
      <c r="G101" s="5"/>
      <c r="H101" s="4">
        <v>763321.97593999805</v>
      </c>
      <c r="I101" s="4">
        <v>1022012.558779998</v>
      </c>
      <c r="J101" s="4">
        <v>1129709.16564</v>
      </c>
      <c r="K101">
        <v>894252.13144000003</v>
      </c>
      <c r="L101" s="4">
        <v>771481.93062</v>
      </c>
      <c r="M101" s="4">
        <v>765373.31547999592</v>
      </c>
      <c r="N101" s="4">
        <v>782732.96940000006</v>
      </c>
      <c r="O101" s="4">
        <v>824027.00641999801</v>
      </c>
      <c r="P101" s="4">
        <v>1078798.4425199979</v>
      </c>
      <c r="Q101">
        <v>1632344.5916242634</v>
      </c>
      <c r="R101">
        <v>1</v>
      </c>
      <c r="S101" s="4">
        <v>0</v>
      </c>
      <c r="T101">
        <f t="shared" si="3"/>
        <v>8341.8406770182773</v>
      </c>
      <c r="U101">
        <f t="shared" si="4"/>
        <v>-8340.8406770182773</v>
      </c>
      <c r="V101">
        <v>1236312.0660792512</v>
      </c>
      <c r="W101">
        <v>3</v>
      </c>
      <c r="X101">
        <v>1368385.7792706576</v>
      </c>
      <c r="Y101">
        <v>0</v>
      </c>
      <c r="Z101">
        <f t="shared" si="5"/>
        <v>0</v>
      </c>
    </row>
    <row r="102" spans="1:26" x14ac:dyDescent="0.3">
      <c r="A102">
        <v>20220510</v>
      </c>
      <c r="B102" s="5">
        <v>44691</v>
      </c>
      <c r="C102">
        <v>806579.08415349561</v>
      </c>
      <c r="D102">
        <v>835522.09809998295</v>
      </c>
      <c r="E102" s="5">
        <v>44691</v>
      </c>
      <c r="F102" s="4">
        <v>20220510</v>
      </c>
      <c r="G102" s="5"/>
      <c r="H102" s="4">
        <v>770772.17301999801</v>
      </c>
      <c r="I102" s="4">
        <v>1039065.8169999979</v>
      </c>
      <c r="J102" s="4">
        <v>1147079.36094</v>
      </c>
      <c r="K102">
        <v>887454.3113399999</v>
      </c>
      <c r="L102" s="4">
        <v>789444.10638000001</v>
      </c>
      <c r="M102" s="4">
        <v>780499.70337999403</v>
      </c>
      <c r="N102" s="4">
        <v>815015.18313999998</v>
      </c>
      <c r="O102" s="4">
        <v>831422.05421999795</v>
      </c>
      <c r="P102" s="4">
        <v>1108027.5578199981</v>
      </c>
      <c r="Q102">
        <v>1658671.6750100811</v>
      </c>
      <c r="R102">
        <v>1</v>
      </c>
      <c r="S102" s="4">
        <v>0</v>
      </c>
      <c r="T102">
        <f t="shared" si="3"/>
        <v>26327.083385817707</v>
      </c>
      <c r="U102">
        <f t="shared" si="4"/>
        <v>-26326.083385817707</v>
      </c>
      <c r="V102">
        <v>1236312.0660792512</v>
      </c>
      <c r="W102">
        <v>0</v>
      </c>
      <c r="X102">
        <v>1368385.7792706576</v>
      </c>
      <c r="Y102">
        <v>0</v>
      </c>
      <c r="Z102">
        <f t="shared" si="5"/>
        <v>0</v>
      </c>
    </row>
    <row r="103" spans="1:26" x14ac:dyDescent="0.3">
      <c r="A103">
        <v>20220511</v>
      </c>
      <c r="B103" s="5">
        <v>44692</v>
      </c>
      <c r="C103">
        <v>802979.3217009186</v>
      </c>
      <c r="D103">
        <v>836125.28239998303</v>
      </c>
      <c r="E103" s="5">
        <v>44692</v>
      </c>
      <c r="F103" s="4">
        <v>20220511</v>
      </c>
      <c r="G103" s="5"/>
      <c r="H103" s="4">
        <v>771959.16609999794</v>
      </c>
      <c r="I103" s="4">
        <v>1039997.357339998</v>
      </c>
      <c r="J103" s="4">
        <v>1145494.2932800001</v>
      </c>
      <c r="K103">
        <v>887167.69551999995</v>
      </c>
      <c r="L103" s="4">
        <v>789539.27177999995</v>
      </c>
      <c r="M103" s="4">
        <v>780863.38629999408</v>
      </c>
      <c r="N103" s="4">
        <v>816684.24517999997</v>
      </c>
      <c r="O103" s="4">
        <v>831074.17587999802</v>
      </c>
      <c r="P103" s="4">
        <v>1115166.397759998</v>
      </c>
      <c r="Q103">
        <v>1664202.8800892332</v>
      </c>
      <c r="R103">
        <v>2</v>
      </c>
      <c r="S103" s="4">
        <v>0</v>
      </c>
      <c r="T103">
        <f t="shared" si="3"/>
        <v>5531.205079152016</v>
      </c>
      <c r="U103">
        <f t="shared" si="4"/>
        <v>-5529.205079152016</v>
      </c>
      <c r="V103">
        <v>1245358.3351335393</v>
      </c>
      <c r="W103">
        <v>3</v>
      </c>
      <c r="X103">
        <v>1368385.7792706576</v>
      </c>
      <c r="Y103">
        <v>0</v>
      </c>
      <c r="Z103">
        <f t="shared" si="5"/>
        <v>0</v>
      </c>
    </row>
    <row r="104" spans="1:26" x14ac:dyDescent="0.3">
      <c r="A104">
        <v>20220512</v>
      </c>
      <c r="B104" s="5">
        <v>44693</v>
      </c>
      <c r="C104">
        <v>809023.34705536137</v>
      </c>
      <c r="D104">
        <v>840284.36669998302</v>
      </c>
      <c r="E104" s="5">
        <v>44693</v>
      </c>
      <c r="F104" s="4">
        <v>20220512</v>
      </c>
      <c r="G104" s="5"/>
      <c r="H104" s="4">
        <v>782296.90063999803</v>
      </c>
      <c r="I104" s="4">
        <v>1053924.182679998</v>
      </c>
      <c r="J104" s="4">
        <v>1172375.1209200001</v>
      </c>
      <c r="K104">
        <v>892786.89600000007</v>
      </c>
      <c r="L104" s="4">
        <v>794894.55813999998</v>
      </c>
      <c r="M104" s="4">
        <v>786579.60871999408</v>
      </c>
      <c r="N104" s="4">
        <v>812069.62372000003</v>
      </c>
      <c r="O104" s="4">
        <v>849220.131999998</v>
      </c>
      <c r="P104" s="4">
        <v>1128233.1296399981</v>
      </c>
      <c r="Q104">
        <v>1712048.9978506553</v>
      </c>
      <c r="R104">
        <v>2</v>
      </c>
      <c r="S104" s="4">
        <v>0</v>
      </c>
      <c r="T104">
        <f t="shared" si="3"/>
        <v>47846.117761422182</v>
      </c>
      <c r="U104">
        <f t="shared" si="4"/>
        <v>-47844.117761422182</v>
      </c>
      <c r="V104">
        <v>1281162.571598978</v>
      </c>
      <c r="W104">
        <v>2</v>
      </c>
      <c r="X104">
        <v>1368385.7792706576</v>
      </c>
      <c r="Y104">
        <v>0</v>
      </c>
      <c r="Z104">
        <f t="shared" si="5"/>
        <v>0</v>
      </c>
    </row>
    <row r="105" spans="1:26" x14ac:dyDescent="0.3">
      <c r="A105">
        <v>20220513</v>
      </c>
      <c r="B105" s="5">
        <v>44694</v>
      </c>
      <c r="C105">
        <v>802507.47301817755</v>
      </c>
      <c r="D105">
        <v>837059.92249998299</v>
      </c>
      <c r="E105" s="5">
        <v>44694</v>
      </c>
      <c r="F105" s="4">
        <v>20220513</v>
      </c>
      <c r="G105" s="5"/>
      <c r="H105" s="4">
        <v>773611.93969999801</v>
      </c>
      <c r="I105" s="4">
        <v>1047178.170879998</v>
      </c>
      <c r="J105" s="4">
        <v>1172968.4350400001</v>
      </c>
      <c r="K105">
        <v>893809.13320000004</v>
      </c>
      <c r="L105" s="4">
        <v>789172.35730000003</v>
      </c>
      <c r="M105" s="4">
        <v>783206.11325999396</v>
      </c>
      <c r="N105" s="4">
        <v>804390.90889999992</v>
      </c>
      <c r="O105" s="4">
        <v>842428.04299999797</v>
      </c>
      <c r="P105" s="4">
        <v>1121022.6191799981</v>
      </c>
      <c r="Q105">
        <v>1690776.4815878789</v>
      </c>
      <c r="R105">
        <v>2</v>
      </c>
      <c r="S105" s="4">
        <v>0</v>
      </c>
      <c r="T105">
        <f t="shared" si="3"/>
        <v>-21272.516262776451</v>
      </c>
      <c r="U105">
        <f t="shared" si="4"/>
        <v>21274.516262776451</v>
      </c>
      <c r="V105">
        <v>1299167.523654996</v>
      </c>
      <c r="W105">
        <v>1</v>
      </c>
      <c r="X105">
        <v>1368385.7792706576</v>
      </c>
      <c r="Y105">
        <v>0</v>
      </c>
      <c r="Z105">
        <f t="shared" si="5"/>
        <v>0</v>
      </c>
    </row>
    <row r="106" spans="1:26" x14ac:dyDescent="0.3">
      <c r="A106">
        <v>20220516</v>
      </c>
      <c r="B106" s="5">
        <v>44697</v>
      </c>
      <c r="C106">
        <v>812505.11111703794</v>
      </c>
      <c r="D106">
        <v>837844.22679998295</v>
      </c>
      <c r="E106" s="5">
        <v>44697</v>
      </c>
      <c r="F106" s="4">
        <v>20220516</v>
      </c>
      <c r="G106" s="5"/>
      <c r="H106" s="4">
        <v>788497.88207999803</v>
      </c>
      <c r="I106" s="4">
        <v>1067354.6819399982</v>
      </c>
      <c r="J106" s="4">
        <v>1172647.93542</v>
      </c>
      <c r="K106">
        <v>883616.91520000005</v>
      </c>
      <c r="L106" s="4">
        <v>792297.42233999993</v>
      </c>
      <c r="M106" s="4">
        <v>785944.27925999602</v>
      </c>
      <c r="N106" s="4">
        <v>806318.51003999996</v>
      </c>
      <c r="O106" s="4">
        <v>835598.07887999795</v>
      </c>
      <c r="P106" s="4">
        <v>1119727.931059998</v>
      </c>
      <c r="Q106">
        <v>1722889.6414966267</v>
      </c>
      <c r="R106">
        <v>1</v>
      </c>
      <c r="S106" s="4">
        <v>0</v>
      </c>
      <c r="T106">
        <f t="shared" si="3"/>
        <v>32113.159908747766</v>
      </c>
      <c r="U106">
        <f t="shared" si="4"/>
        <v>-32112.159908747766</v>
      </c>
      <c r="V106">
        <v>1299167.523654996</v>
      </c>
      <c r="W106">
        <v>0</v>
      </c>
      <c r="X106">
        <v>1368385.7792706576</v>
      </c>
      <c r="Y106">
        <v>0</v>
      </c>
      <c r="Z106">
        <f t="shared" si="5"/>
        <v>0</v>
      </c>
    </row>
    <row r="107" spans="1:26" x14ac:dyDescent="0.3">
      <c r="A107">
        <v>20220517</v>
      </c>
      <c r="B107" s="5">
        <v>44698</v>
      </c>
      <c r="C107">
        <v>809655.65569235059</v>
      </c>
      <c r="D107">
        <v>841717.80069998302</v>
      </c>
      <c r="E107" s="5">
        <v>44698</v>
      </c>
      <c r="F107" s="4">
        <v>20220517</v>
      </c>
      <c r="G107" s="5"/>
      <c r="H107" s="4">
        <v>808563.276659998</v>
      </c>
      <c r="I107" s="4">
        <v>1095809.5046799979</v>
      </c>
      <c r="J107" s="4">
        <v>1170374.5055800001</v>
      </c>
      <c r="K107">
        <v>865885.30045999994</v>
      </c>
      <c r="L107" s="4">
        <v>798651.12366000004</v>
      </c>
      <c r="M107" s="4">
        <v>790671.61223999597</v>
      </c>
      <c r="N107" s="4">
        <v>797660.17060000007</v>
      </c>
      <c r="O107" s="4">
        <v>850870.23767999804</v>
      </c>
      <c r="P107" s="4">
        <v>1140194.2631399981</v>
      </c>
      <c r="Q107">
        <v>1717895.5044799817</v>
      </c>
      <c r="R107">
        <v>1</v>
      </c>
      <c r="S107" s="4">
        <v>0</v>
      </c>
      <c r="T107">
        <f t="shared" si="3"/>
        <v>-4994.1370166449342</v>
      </c>
      <c r="U107">
        <f t="shared" si="4"/>
        <v>4995.1370166449342</v>
      </c>
      <c r="V107">
        <v>1331091.0797588876</v>
      </c>
      <c r="W107">
        <v>3</v>
      </c>
      <c r="X107">
        <v>1433842.9744499372</v>
      </c>
      <c r="Y107">
        <v>2</v>
      </c>
      <c r="Z107">
        <f t="shared" si="5"/>
        <v>4.783533720598003E-2</v>
      </c>
    </row>
    <row r="108" spans="1:26" x14ac:dyDescent="0.3">
      <c r="A108">
        <v>20220518</v>
      </c>
      <c r="B108" s="5">
        <v>44699</v>
      </c>
      <c r="C108">
        <v>811202.90765037865</v>
      </c>
      <c r="D108">
        <v>846864.07779998297</v>
      </c>
      <c r="E108" s="5">
        <v>44699</v>
      </c>
      <c r="F108" s="4">
        <v>20220518</v>
      </c>
      <c r="G108" s="5"/>
      <c r="H108" s="4">
        <v>827002.81753999798</v>
      </c>
      <c r="I108" s="4">
        <v>1096549.4772199981</v>
      </c>
      <c r="J108" s="4">
        <v>1175131.03908</v>
      </c>
      <c r="K108">
        <v>854763.86828000005</v>
      </c>
      <c r="L108" s="4">
        <v>803115.38266</v>
      </c>
      <c r="M108" s="4">
        <v>796682.33893999597</v>
      </c>
      <c r="N108" s="4">
        <v>787240.74393999996</v>
      </c>
      <c r="O108" s="4">
        <v>850181.29115999804</v>
      </c>
      <c r="P108" s="4">
        <v>1143553.3944999981</v>
      </c>
      <c r="Q108">
        <v>1727762.0277250903</v>
      </c>
      <c r="R108">
        <v>1</v>
      </c>
      <c r="S108" s="4">
        <v>0</v>
      </c>
      <c r="T108">
        <f t="shared" si="3"/>
        <v>9866.5232451085467</v>
      </c>
      <c r="U108">
        <f t="shared" si="4"/>
        <v>-9865.5232451085467</v>
      </c>
      <c r="V108">
        <v>1338736.0401596755</v>
      </c>
      <c r="W108">
        <v>1</v>
      </c>
      <c r="X108">
        <v>1429391.477232839</v>
      </c>
      <c r="Y108">
        <v>2</v>
      </c>
      <c r="Z108">
        <f t="shared" si="5"/>
        <v>-3.1045918530974224E-3</v>
      </c>
    </row>
    <row r="109" spans="1:26" x14ac:dyDescent="0.3">
      <c r="A109">
        <v>20220519</v>
      </c>
      <c r="B109" s="5">
        <v>44700</v>
      </c>
      <c r="C109">
        <v>827010.0075088538</v>
      </c>
      <c r="D109">
        <v>857960.16699998302</v>
      </c>
      <c r="E109" s="5">
        <v>44700</v>
      </c>
      <c r="F109" s="4">
        <v>20220519</v>
      </c>
      <c r="G109" s="5"/>
      <c r="H109" s="4">
        <v>835015.70183999802</v>
      </c>
      <c r="I109" s="4">
        <v>1100350.5236999979</v>
      </c>
      <c r="J109" s="4">
        <v>1166263.1870200001</v>
      </c>
      <c r="K109">
        <v>863912.08433999994</v>
      </c>
      <c r="L109" s="4">
        <v>816200.27145999996</v>
      </c>
      <c r="M109" s="4">
        <v>808267.01889999607</v>
      </c>
      <c r="N109" s="4">
        <v>799547.23901999998</v>
      </c>
      <c r="O109" s="4">
        <v>849388.83281999803</v>
      </c>
      <c r="P109" s="4">
        <v>1133184.811719998</v>
      </c>
      <c r="Q109">
        <v>1712048.3262883234</v>
      </c>
      <c r="R109">
        <v>4</v>
      </c>
      <c r="S109" s="4">
        <v>0</v>
      </c>
      <c r="T109">
        <f t="shared" si="3"/>
        <v>-15713.701436766889</v>
      </c>
      <c r="U109">
        <f t="shared" si="4"/>
        <v>15717.701436766889</v>
      </c>
      <c r="V109">
        <v>1319881.8358206905</v>
      </c>
      <c r="W109">
        <v>1</v>
      </c>
      <c r="X109">
        <v>1434758.0839084447</v>
      </c>
      <c r="Y109">
        <v>2</v>
      </c>
      <c r="Z109">
        <f t="shared" si="5"/>
        <v>3.7544694795543184E-3</v>
      </c>
    </row>
    <row r="110" spans="1:26" x14ac:dyDescent="0.3">
      <c r="A110">
        <v>20220520</v>
      </c>
      <c r="B110" s="5">
        <v>44701</v>
      </c>
      <c r="C110">
        <v>822206.73338524241</v>
      </c>
      <c r="D110">
        <v>860498.546399983</v>
      </c>
      <c r="E110" s="5">
        <v>44701</v>
      </c>
      <c r="F110" s="4">
        <v>20220520</v>
      </c>
      <c r="G110" s="5"/>
      <c r="H110" s="4">
        <v>836915.90781999798</v>
      </c>
      <c r="I110" s="4">
        <v>1102858.2269999981</v>
      </c>
      <c r="J110" s="4">
        <v>1183800.97138</v>
      </c>
      <c r="K110">
        <v>873601.0051999999</v>
      </c>
      <c r="L110" s="4">
        <v>824495.28041999997</v>
      </c>
      <c r="M110" s="4">
        <v>813461.38617999596</v>
      </c>
      <c r="N110" s="4">
        <v>802239.41226000001</v>
      </c>
      <c r="O110" s="4">
        <v>882674.72407999798</v>
      </c>
      <c r="P110" s="4">
        <v>1178293.5481199981</v>
      </c>
      <c r="Q110">
        <v>1780310.891784091</v>
      </c>
      <c r="R110">
        <v>4</v>
      </c>
      <c r="S110" s="4">
        <v>0</v>
      </c>
      <c r="T110">
        <f t="shared" si="3"/>
        <v>68262.565495767631</v>
      </c>
      <c r="U110">
        <f t="shared" si="4"/>
        <v>-68258.565495767631</v>
      </c>
      <c r="V110">
        <v>1379487.6134249459</v>
      </c>
      <c r="W110">
        <v>2</v>
      </c>
      <c r="X110">
        <v>1499550.6950053456</v>
      </c>
      <c r="Y110">
        <v>2</v>
      </c>
      <c r="Z110">
        <f t="shared" si="5"/>
        <v>4.5159258430800001E-2</v>
      </c>
    </row>
    <row r="111" spans="1:26" x14ac:dyDescent="0.3">
      <c r="A111">
        <v>20220523</v>
      </c>
      <c r="B111" s="5">
        <v>44704</v>
      </c>
      <c r="C111">
        <v>802961.34037689411</v>
      </c>
      <c r="D111">
        <v>840429.73779998196</v>
      </c>
      <c r="E111" s="5">
        <v>44704</v>
      </c>
      <c r="F111" s="4">
        <v>20220523</v>
      </c>
      <c r="G111" s="5"/>
      <c r="H111" s="4">
        <v>837652.69133999804</v>
      </c>
      <c r="I111" s="4">
        <v>1109562.301839998</v>
      </c>
      <c r="J111" s="4">
        <v>1144395.14258</v>
      </c>
      <c r="K111">
        <v>870232.41994000005</v>
      </c>
      <c r="L111" s="4">
        <v>803695.44378000009</v>
      </c>
      <c r="M111" s="4">
        <v>790634.808519996</v>
      </c>
      <c r="N111" s="4">
        <v>784794.62702000001</v>
      </c>
      <c r="O111" s="4">
        <v>871420.09815999796</v>
      </c>
      <c r="P111" s="4">
        <v>1169351.8294399981</v>
      </c>
      <c r="Q111">
        <v>1766828.201418103</v>
      </c>
      <c r="R111">
        <v>4</v>
      </c>
      <c r="S111" s="4">
        <v>0</v>
      </c>
      <c r="T111">
        <f t="shared" si="3"/>
        <v>-13482.690365988063</v>
      </c>
      <c r="U111">
        <f t="shared" si="4"/>
        <v>13486.690365988063</v>
      </c>
      <c r="V111">
        <v>1379487.6134249459</v>
      </c>
      <c r="W111">
        <v>0</v>
      </c>
      <c r="X111">
        <v>1432756.1400924253</v>
      </c>
      <c r="Y111">
        <v>2</v>
      </c>
      <c r="Z111">
        <f t="shared" si="5"/>
        <v>-4.4543045550508871E-2</v>
      </c>
    </row>
    <row r="112" spans="1:26" x14ac:dyDescent="0.3">
      <c r="A112">
        <v>20220524</v>
      </c>
      <c r="B112" s="5">
        <v>44705</v>
      </c>
      <c r="C112">
        <v>807820.862408855</v>
      </c>
      <c r="D112">
        <v>849671.47379998199</v>
      </c>
      <c r="E112" s="5">
        <v>44705</v>
      </c>
      <c r="F112" s="4">
        <v>20220524</v>
      </c>
      <c r="G112" s="5"/>
      <c r="H112" s="4">
        <v>837317.96901999798</v>
      </c>
      <c r="I112" s="4">
        <v>1136360.7549799981</v>
      </c>
      <c r="J112" s="4">
        <v>1167148.6135800001</v>
      </c>
      <c r="K112">
        <v>885298.57207999995</v>
      </c>
      <c r="L112" s="4">
        <v>809193.14638000005</v>
      </c>
      <c r="M112" s="4">
        <v>798984.14855999604</v>
      </c>
      <c r="N112" s="4">
        <v>786271.47950000002</v>
      </c>
      <c r="O112" s="4">
        <v>878330.74427999801</v>
      </c>
      <c r="P112" s="4">
        <v>1185303.4153599979</v>
      </c>
      <c r="Q112">
        <v>1791530.4505129126</v>
      </c>
      <c r="R112">
        <v>1</v>
      </c>
      <c r="S112" s="4">
        <v>0</v>
      </c>
      <c r="T112">
        <f t="shared" si="3"/>
        <v>24702.249094809638</v>
      </c>
      <c r="U112">
        <f t="shared" si="4"/>
        <v>-24701.249094809638</v>
      </c>
      <c r="V112">
        <v>1379487.6134249459</v>
      </c>
      <c r="W112">
        <v>0</v>
      </c>
      <c r="X112">
        <v>1446342.7143439713</v>
      </c>
      <c r="Y112">
        <v>2</v>
      </c>
      <c r="Z112">
        <f t="shared" si="5"/>
        <v>9.4828239582135775E-3</v>
      </c>
    </row>
    <row r="113" spans="1:26" x14ac:dyDescent="0.3">
      <c r="A113">
        <v>20220525</v>
      </c>
      <c r="B113" s="5">
        <v>44706</v>
      </c>
      <c r="C113">
        <v>809808.90955124318</v>
      </c>
      <c r="D113">
        <v>856927.61429998197</v>
      </c>
      <c r="E113" s="5">
        <v>44706</v>
      </c>
      <c r="F113" s="4">
        <v>20220525</v>
      </c>
      <c r="G113" s="5"/>
      <c r="H113" s="4">
        <v>839615.41995999799</v>
      </c>
      <c r="I113" s="4">
        <v>1164798.469339998</v>
      </c>
      <c r="J113" s="4">
        <v>1165741.9464199999</v>
      </c>
      <c r="K113">
        <v>893164.2161800001</v>
      </c>
      <c r="L113" s="4">
        <v>815923.99095999997</v>
      </c>
      <c r="M113" s="4">
        <v>806292.25079999608</v>
      </c>
      <c r="N113" s="4">
        <v>785394.90284</v>
      </c>
      <c r="O113" s="4">
        <v>880671.38209999795</v>
      </c>
      <c r="P113" s="4">
        <v>1183317.0236599981</v>
      </c>
      <c r="Q113">
        <v>1810536.8754303278</v>
      </c>
      <c r="R113">
        <v>1</v>
      </c>
      <c r="S113" s="4">
        <v>0</v>
      </c>
      <c r="T113">
        <f t="shared" si="3"/>
        <v>19006.42491741525</v>
      </c>
      <c r="U113">
        <f t="shared" si="4"/>
        <v>-19005.42491741525</v>
      </c>
      <c r="V113">
        <v>1372236.8223920413</v>
      </c>
      <c r="W113">
        <v>3</v>
      </c>
      <c r="X113">
        <v>1441323.6693289471</v>
      </c>
      <c r="Y113">
        <v>2</v>
      </c>
      <c r="Z113">
        <f t="shared" si="5"/>
        <v>-3.4701630293071865E-3</v>
      </c>
    </row>
    <row r="114" spans="1:26" x14ac:dyDescent="0.3">
      <c r="A114">
        <v>20220526</v>
      </c>
      <c r="B114" s="5">
        <v>44707</v>
      </c>
      <c r="C114">
        <v>811469.82762473274</v>
      </c>
      <c r="D114">
        <v>859134.30119998194</v>
      </c>
      <c r="E114" s="5">
        <v>44707</v>
      </c>
      <c r="F114" s="4">
        <v>20220526</v>
      </c>
      <c r="G114" s="5"/>
      <c r="H114" s="4">
        <v>843875.77831999806</v>
      </c>
      <c r="I114" s="4">
        <v>1170717.047499998</v>
      </c>
      <c r="J114" s="4">
        <v>1201111.1637800001</v>
      </c>
      <c r="K114">
        <v>914631.78046000004</v>
      </c>
      <c r="L114" s="4">
        <v>818259.79859999998</v>
      </c>
      <c r="M114" s="4">
        <v>808563.36049999599</v>
      </c>
      <c r="N114" s="4">
        <v>805672.93499999994</v>
      </c>
      <c r="O114" s="4">
        <v>877049.70491999795</v>
      </c>
      <c r="P114" s="4">
        <v>1201305.0872999979</v>
      </c>
      <c r="Q114">
        <v>1838103.8908986431</v>
      </c>
      <c r="R114">
        <v>4</v>
      </c>
      <c r="S114" s="4">
        <v>0</v>
      </c>
      <c r="T114">
        <f t="shared" si="3"/>
        <v>27567.015468315221</v>
      </c>
      <c r="U114">
        <f t="shared" si="4"/>
        <v>-27563.015468315221</v>
      </c>
      <c r="V114">
        <v>1395817.7828367287</v>
      </c>
      <c r="W114">
        <v>1</v>
      </c>
      <c r="X114">
        <v>1436458.7866312079</v>
      </c>
      <c r="Y114">
        <v>2</v>
      </c>
      <c r="Z114">
        <f t="shared" si="5"/>
        <v>-3.3752881474597373E-3</v>
      </c>
    </row>
    <row r="115" spans="1:26" x14ac:dyDescent="0.3">
      <c r="A115">
        <v>20220527</v>
      </c>
      <c r="B115" s="5">
        <v>44708</v>
      </c>
      <c r="C115">
        <v>817078.70707327488</v>
      </c>
      <c r="D115">
        <v>866381.709199982</v>
      </c>
      <c r="E115" s="5">
        <v>44708</v>
      </c>
      <c r="F115" s="4">
        <v>20220527</v>
      </c>
      <c r="G115" s="5"/>
      <c r="H115" s="4">
        <v>867031.48973999801</v>
      </c>
      <c r="I115" s="4">
        <v>1202855.8972799978</v>
      </c>
      <c r="J115" s="4">
        <v>1221306.4045600002</v>
      </c>
      <c r="K115">
        <v>928249.36728000012</v>
      </c>
      <c r="L115" s="4">
        <v>828160.36228</v>
      </c>
      <c r="M115" s="4">
        <v>817305.11371999595</v>
      </c>
      <c r="N115" s="4">
        <v>826891.32024000003</v>
      </c>
      <c r="O115" s="4">
        <v>882454.95741999801</v>
      </c>
      <c r="P115" s="4">
        <v>1214005.739279998</v>
      </c>
      <c r="Q115">
        <v>1857552.9965180005</v>
      </c>
      <c r="R115">
        <v>4</v>
      </c>
      <c r="S115" s="4">
        <v>0</v>
      </c>
      <c r="T115">
        <f t="shared" si="3"/>
        <v>19449.105619357433</v>
      </c>
      <c r="U115">
        <f t="shared" si="4"/>
        <v>-19445.105619357433</v>
      </c>
      <c r="V115">
        <v>1378115.7960054022</v>
      </c>
      <c r="W115">
        <v>1</v>
      </c>
      <c r="X115">
        <v>1418241.4405525872</v>
      </c>
      <c r="Y115">
        <v>1</v>
      </c>
      <c r="Z115">
        <f t="shared" si="5"/>
        <v>-1.2682122347097887E-2</v>
      </c>
    </row>
    <row r="116" spans="1:26" x14ac:dyDescent="0.3">
      <c r="A116">
        <v>20220530</v>
      </c>
      <c r="B116" s="5">
        <v>44711</v>
      </c>
      <c r="C116">
        <v>829740.15871808236</v>
      </c>
      <c r="D116">
        <v>878275.03249998204</v>
      </c>
      <c r="E116" s="5">
        <v>44711</v>
      </c>
      <c r="F116" s="4">
        <v>20220530</v>
      </c>
      <c r="G116" s="5"/>
      <c r="H116" s="4">
        <v>863089.84763999807</v>
      </c>
      <c r="I116" s="4">
        <v>1197384.6333199979</v>
      </c>
      <c r="J116" s="4">
        <v>1228089.9745999998</v>
      </c>
      <c r="K116">
        <v>937999.68636000005</v>
      </c>
      <c r="L116" s="4">
        <v>841967.53422000003</v>
      </c>
      <c r="M116" s="4">
        <v>829407.24295999599</v>
      </c>
      <c r="N116" s="4">
        <v>841048.82667999994</v>
      </c>
      <c r="O116" s="4">
        <v>881698.52079999796</v>
      </c>
      <c r="P116" s="4">
        <v>1214481.6824199981</v>
      </c>
      <c r="Q116">
        <v>1857552.9965180005</v>
      </c>
      <c r="R116">
        <v>0</v>
      </c>
      <c r="S116" s="4">
        <v>0</v>
      </c>
      <c r="T116">
        <f t="shared" si="3"/>
        <v>0</v>
      </c>
      <c r="U116">
        <f t="shared" si="4"/>
        <v>0</v>
      </c>
      <c r="V116">
        <v>1378115.7960054022</v>
      </c>
      <c r="W116">
        <v>0</v>
      </c>
      <c r="X116">
        <v>1430312.6948263659</v>
      </c>
      <c r="Y116">
        <v>1</v>
      </c>
      <c r="Z116">
        <f t="shared" si="5"/>
        <v>8.5114240274035812E-3</v>
      </c>
    </row>
    <row r="117" spans="1:26" x14ac:dyDescent="0.3">
      <c r="A117">
        <v>20220531</v>
      </c>
      <c r="B117" s="5">
        <v>44712</v>
      </c>
      <c r="C117">
        <v>828035.04269191658</v>
      </c>
      <c r="D117">
        <v>877447.92219998199</v>
      </c>
      <c r="E117" s="5">
        <v>44712</v>
      </c>
      <c r="F117" s="4">
        <v>20220531</v>
      </c>
      <c r="G117" s="5"/>
      <c r="H117" s="4">
        <v>884775.6543999979</v>
      </c>
      <c r="I117" s="4">
        <v>1209256.359879998</v>
      </c>
      <c r="J117" s="4">
        <v>1253904.8518400001</v>
      </c>
      <c r="K117">
        <v>947545.71432000003</v>
      </c>
      <c r="L117" s="4">
        <v>843544.00125999993</v>
      </c>
      <c r="M117" s="4">
        <v>827630.56243999605</v>
      </c>
      <c r="N117" s="4">
        <v>848712.70901999995</v>
      </c>
      <c r="O117" s="4">
        <v>895950.90603999794</v>
      </c>
      <c r="P117" s="4">
        <v>1264888.518759998</v>
      </c>
      <c r="Q117">
        <v>1896498.151226155</v>
      </c>
      <c r="R117">
        <v>1</v>
      </c>
      <c r="S117" s="4">
        <v>0</v>
      </c>
      <c r="T117">
        <f t="shared" si="3"/>
        <v>38945.1547081545</v>
      </c>
      <c r="U117">
        <f t="shared" si="4"/>
        <v>-38944.1547081545</v>
      </c>
      <c r="V117">
        <v>1407009.1368811752</v>
      </c>
      <c r="W117">
        <v>1</v>
      </c>
      <c r="X117">
        <v>1460300.3373746828</v>
      </c>
      <c r="Y117">
        <v>1</v>
      </c>
      <c r="Z117">
        <f t="shared" si="5"/>
        <v>2.096579486205094E-2</v>
      </c>
    </row>
    <row r="118" spans="1:26" x14ac:dyDescent="0.3">
      <c r="A118">
        <v>20220601</v>
      </c>
      <c r="B118" s="5">
        <v>44713</v>
      </c>
      <c r="C118">
        <v>829317.66897304635</v>
      </c>
      <c r="D118">
        <v>880680.68249998195</v>
      </c>
      <c r="E118" s="5">
        <v>44713</v>
      </c>
      <c r="F118" s="4">
        <v>20220601</v>
      </c>
      <c r="G118" s="5"/>
      <c r="H118" s="4">
        <v>917080.79977999791</v>
      </c>
      <c r="I118" s="4">
        <v>1255004.357059998</v>
      </c>
      <c r="J118" s="4">
        <v>1281039.0021199998</v>
      </c>
      <c r="K118">
        <v>939231.98022000003</v>
      </c>
      <c r="L118" s="4">
        <v>847429.10483999993</v>
      </c>
      <c r="M118" s="4">
        <v>829649.41069999593</v>
      </c>
      <c r="N118" s="4">
        <v>858913.45737999992</v>
      </c>
      <c r="O118" s="4">
        <v>929398.31799999787</v>
      </c>
      <c r="P118" s="4">
        <v>1285190.1888799979</v>
      </c>
      <c r="Q118">
        <v>1950573.8291549156</v>
      </c>
      <c r="R118">
        <v>1</v>
      </c>
      <c r="S118" s="4">
        <v>0</v>
      </c>
      <c r="T118">
        <f t="shared" si="3"/>
        <v>54075.677928760648</v>
      </c>
      <c r="U118">
        <f t="shared" si="4"/>
        <v>-54074.677928760648</v>
      </c>
      <c r="V118">
        <v>1410074.8605291254</v>
      </c>
      <c r="W118">
        <v>3</v>
      </c>
      <c r="X118">
        <v>1501938.3974696361</v>
      </c>
      <c r="Y118">
        <v>1</v>
      </c>
      <c r="Z118">
        <f t="shared" si="5"/>
        <v>2.8513353745990282E-2</v>
      </c>
    </row>
    <row r="119" spans="1:26" x14ac:dyDescent="0.3">
      <c r="A119">
        <v>20220602</v>
      </c>
      <c r="B119" s="5">
        <v>44714</v>
      </c>
      <c r="C119">
        <v>844820.93347682862</v>
      </c>
      <c r="D119">
        <v>907743.43779998203</v>
      </c>
      <c r="E119" s="5">
        <v>44714</v>
      </c>
      <c r="G119" s="5"/>
      <c r="H119" s="4">
        <v>932574.91221999808</v>
      </c>
      <c r="I119" s="4">
        <v>1281726.0197799981</v>
      </c>
      <c r="J119" s="4">
        <v>1336863.9647600001</v>
      </c>
      <c r="K119">
        <v>970119.28169999993</v>
      </c>
      <c r="L119" s="4">
        <v>875481.90982000006</v>
      </c>
      <c r="M119" s="4">
        <v>856645.19349999598</v>
      </c>
      <c r="N119" s="4">
        <v>894905.59810000006</v>
      </c>
      <c r="O119" s="4">
        <v>947709.12661999802</v>
      </c>
      <c r="P119" s="4">
        <v>1316542.5493799981</v>
      </c>
      <c r="Q119">
        <v>1964319.0355164807</v>
      </c>
      <c r="R119">
        <v>1</v>
      </c>
      <c r="S119" s="4">
        <v>0</v>
      </c>
      <c r="T119">
        <f t="shared" si="3"/>
        <v>13745.20636156504</v>
      </c>
      <c r="U119">
        <f t="shared" si="4"/>
        <v>-13744.20636156504</v>
      </c>
      <c r="V119">
        <v>1443143.5640659251</v>
      </c>
      <c r="W119">
        <v>3</v>
      </c>
      <c r="X119">
        <v>1512522.147079047</v>
      </c>
      <c r="Y119">
        <v>1</v>
      </c>
      <c r="Z119">
        <f t="shared" si="5"/>
        <v>7.0467268346303541E-3</v>
      </c>
    </row>
    <row r="120" spans="1:26" x14ac:dyDescent="0.3">
      <c r="A120">
        <v>20220606</v>
      </c>
      <c r="B120" s="5">
        <v>44718</v>
      </c>
      <c r="C120">
        <v>847452.55068460875</v>
      </c>
      <c r="D120">
        <v>908816.64689998201</v>
      </c>
      <c r="E120" s="5">
        <v>44718</v>
      </c>
      <c r="F120" s="4">
        <v>20220606</v>
      </c>
      <c r="G120" s="5"/>
      <c r="H120" s="4">
        <v>929926.34613999794</v>
      </c>
      <c r="I120" s="4">
        <v>1288137.937059998</v>
      </c>
      <c r="J120" s="4">
        <v>1329405.6804199999</v>
      </c>
      <c r="K120">
        <v>985640.1067</v>
      </c>
      <c r="L120" s="4">
        <v>875153.75275999994</v>
      </c>
      <c r="M120" s="4">
        <v>856305.26077999605</v>
      </c>
      <c r="N120" s="4">
        <v>896794.44212000002</v>
      </c>
      <c r="O120" s="4">
        <v>958897.73143999802</v>
      </c>
      <c r="P120" s="4">
        <v>1332614.394799998</v>
      </c>
      <c r="Q120">
        <v>2020150.984241823</v>
      </c>
      <c r="R120">
        <v>2</v>
      </c>
      <c r="S120" s="4">
        <v>0</v>
      </c>
      <c r="T120">
        <f t="shared" si="3"/>
        <v>55831.948725342285</v>
      </c>
      <c r="U120">
        <f t="shared" si="4"/>
        <v>-55829.948725342285</v>
      </c>
      <c r="V120">
        <v>1565501.1163539572</v>
      </c>
      <c r="W120">
        <v>1</v>
      </c>
      <c r="X120">
        <v>1640761.7692105479</v>
      </c>
      <c r="Y120">
        <v>1</v>
      </c>
      <c r="Z120">
        <f t="shared" si="5"/>
        <v>8.4785285543854477E-2</v>
      </c>
    </row>
    <row r="121" spans="1:26" x14ac:dyDescent="0.3">
      <c r="A121">
        <v>20220607</v>
      </c>
      <c r="B121" s="5">
        <v>44719</v>
      </c>
      <c r="C121">
        <v>855688.94202471245</v>
      </c>
      <c r="D121">
        <v>920251.91499998304</v>
      </c>
      <c r="E121" s="5">
        <v>44719</v>
      </c>
      <c r="F121" s="4">
        <v>20220607</v>
      </c>
      <c r="G121" s="5"/>
      <c r="H121" s="4">
        <v>951886.4427999981</v>
      </c>
      <c r="I121" s="4">
        <v>1286302.9962599981</v>
      </c>
      <c r="J121" s="4">
        <v>1369810.9471400001</v>
      </c>
      <c r="K121">
        <v>986023.06696000008</v>
      </c>
      <c r="L121" s="4">
        <v>885725.64715999993</v>
      </c>
      <c r="M121" s="4">
        <v>867450.12051999604</v>
      </c>
      <c r="N121" s="4">
        <v>911375.47674000007</v>
      </c>
      <c r="O121" s="4">
        <v>981544.81535999791</v>
      </c>
      <c r="P121" s="4">
        <v>1373247.0242999981</v>
      </c>
      <c r="Q121">
        <v>2020150.984241823</v>
      </c>
      <c r="R121">
        <v>0</v>
      </c>
      <c r="S121" s="4">
        <v>0</v>
      </c>
      <c r="T121">
        <f t="shared" si="3"/>
        <v>0</v>
      </c>
      <c r="U121">
        <f t="shared" si="4"/>
        <v>0</v>
      </c>
      <c r="V121">
        <v>1609500.6069684629</v>
      </c>
      <c r="W121">
        <v>3</v>
      </c>
      <c r="X121">
        <v>1614535.0896147361</v>
      </c>
      <c r="Y121">
        <v>1</v>
      </c>
      <c r="Z121">
        <f t="shared" si="5"/>
        <v>-1.5984453129006485E-2</v>
      </c>
    </row>
    <row r="122" spans="1:26" x14ac:dyDescent="0.3">
      <c r="A122">
        <v>20220608</v>
      </c>
      <c r="B122" s="5">
        <v>44720</v>
      </c>
      <c r="C122">
        <v>846725.60035700374</v>
      </c>
      <c r="D122">
        <v>904267.39139998297</v>
      </c>
      <c r="E122" s="5">
        <v>44720</v>
      </c>
      <c r="F122" s="4">
        <v>20220608</v>
      </c>
      <c r="G122" s="5"/>
      <c r="H122" s="4">
        <v>953705.40393999801</v>
      </c>
      <c r="I122" s="4">
        <v>1277942.7210399979</v>
      </c>
      <c r="J122" s="4">
        <v>1331361.1557</v>
      </c>
      <c r="K122">
        <v>967851.12192000006</v>
      </c>
      <c r="L122" s="4">
        <v>870231.48164000013</v>
      </c>
      <c r="M122" s="4">
        <v>852177.48411999608</v>
      </c>
      <c r="N122" s="4">
        <v>896317.55184000009</v>
      </c>
      <c r="O122" s="4">
        <v>963454.35659999796</v>
      </c>
      <c r="P122" s="4">
        <v>1362586.8697999981</v>
      </c>
      <c r="Q122">
        <v>2020150.984241823</v>
      </c>
      <c r="R122">
        <v>0</v>
      </c>
      <c r="S122" s="4">
        <v>0</v>
      </c>
      <c r="T122">
        <f t="shared" si="3"/>
        <v>0</v>
      </c>
      <c r="U122">
        <f t="shared" si="4"/>
        <v>0</v>
      </c>
      <c r="V122">
        <v>1503592.0981289358</v>
      </c>
      <c r="W122">
        <v>1</v>
      </c>
      <c r="X122">
        <v>1508296.612215169</v>
      </c>
      <c r="Y122">
        <v>1</v>
      </c>
      <c r="Z122">
        <f t="shared" si="5"/>
        <v>-6.5801281175572338E-2</v>
      </c>
    </row>
    <row r="123" spans="1:26" x14ac:dyDescent="0.3">
      <c r="A123">
        <v>20220609</v>
      </c>
      <c r="B123" s="5">
        <v>44721</v>
      </c>
      <c r="C123">
        <v>859551.79975121154</v>
      </c>
      <c r="D123">
        <v>934774.87669998303</v>
      </c>
      <c r="E123" s="5">
        <v>44721</v>
      </c>
      <c r="F123" s="4">
        <v>20220609</v>
      </c>
      <c r="G123" s="5"/>
      <c r="H123" s="4">
        <v>986923.26453999802</v>
      </c>
      <c r="I123" s="4">
        <v>1313408.5105399978</v>
      </c>
      <c r="J123" s="4">
        <v>1377556.554</v>
      </c>
      <c r="K123">
        <v>990508.11874000006</v>
      </c>
      <c r="L123" s="4">
        <v>900183.94201999996</v>
      </c>
      <c r="M123" s="4">
        <v>882194.41135999595</v>
      </c>
      <c r="N123" s="4">
        <v>921444.51630000002</v>
      </c>
      <c r="O123" s="4">
        <v>982999.29747999797</v>
      </c>
      <c r="P123" s="4">
        <v>1394492.1851799979</v>
      </c>
      <c r="Q123">
        <v>2013768.0041631856</v>
      </c>
      <c r="R123">
        <v>1</v>
      </c>
      <c r="S123" s="4">
        <v>0</v>
      </c>
      <c r="T123">
        <f t="shared" si="3"/>
        <v>-6382.9800786373671</v>
      </c>
      <c r="U123">
        <f t="shared" si="4"/>
        <v>6383.9800786373671</v>
      </c>
      <c r="V123">
        <v>1498841.2667360106</v>
      </c>
      <c r="W123">
        <v>1</v>
      </c>
      <c r="X123">
        <v>1537348.2507257918</v>
      </c>
      <c r="Y123">
        <v>2</v>
      </c>
      <c r="Z123">
        <f t="shared" si="5"/>
        <v>1.926122373765457E-2</v>
      </c>
    </row>
    <row r="124" spans="1:26" x14ac:dyDescent="0.3">
      <c r="A124">
        <v>20220610</v>
      </c>
      <c r="B124" s="5">
        <v>44722</v>
      </c>
      <c r="C124">
        <v>849471.83579552919</v>
      </c>
      <c r="D124">
        <v>948089.25309998298</v>
      </c>
      <c r="E124" s="5">
        <v>44722</v>
      </c>
      <c r="F124" s="4">
        <v>20220610</v>
      </c>
      <c r="G124" s="5"/>
      <c r="H124" s="4">
        <v>1005200.2404199981</v>
      </c>
      <c r="I124" s="4">
        <v>1312202.417539998</v>
      </c>
      <c r="J124" s="4">
        <v>1429689.2798999981</v>
      </c>
      <c r="K124">
        <v>1025804.9368</v>
      </c>
      <c r="L124" s="4">
        <v>913353.19030000013</v>
      </c>
      <c r="M124" s="4">
        <v>898208.92207999597</v>
      </c>
      <c r="N124" s="4">
        <v>935191.07168000005</v>
      </c>
      <c r="O124" s="4">
        <v>1040597.1897399981</v>
      </c>
      <c r="P124" s="4">
        <v>1473707.7534799981</v>
      </c>
      <c r="Q124">
        <v>2153197.3088336592</v>
      </c>
      <c r="R124">
        <v>1</v>
      </c>
      <c r="S124" s="4">
        <v>0</v>
      </c>
      <c r="T124">
        <f t="shared" si="3"/>
        <v>139429.30467047356</v>
      </c>
      <c r="U124">
        <f t="shared" si="4"/>
        <v>-139428.30467047356</v>
      </c>
      <c r="V124">
        <v>1498841.2667360106</v>
      </c>
      <c r="W124">
        <v>0</v>
      </c>
      <c r="X124">
        <v>1666256.9452486285</v>
      </c>
      <c r="Y124">
        <v>2</v>
      </c>
      <c r="Z124">
        <f t="shared" si="5"/>
        <v>8.3851329366640318E-2</v>
      </c>
    </row>
    <row r="125" spans="1:26" x14ac:dyDescent="0.3">
      <c r="A125">
        <v>20220613</v>
      </c>
      <c r="B125" s="5">
        <v>44725</v>
      </c>
      <c r="C125">
        <v>856141.0391783599</v>
      </c>
      <c r="D125">
        <v>961639.31959998305</v>
      </c>
      <c r="E125" s="5">
        <v>44725</v>
      </c>
      <c r="F125" s="4">
        <v>20220613</v>
      </c>
      <c r="G125" s="5"/>
      <c r="H125" s="4">
        <v>1025757.1853799981</v>
      </c>
      <c r="I125" s="4">
        <v>1325070.755639998</v>
      </c>
      <c r="J125" s="4">
        <v>1432962.18358</v>
      </c>
      <c r="K125">
        <v>1051317.30852</v>
      </c>
      <c r="L125" s="4">
        <v>926346.82452000002</v>
      </c>
      <c r="M125" s="4">
        <v>910959.96805999591</v>
      </c>
      <c r="N125" s="4">
        <v>953987.54443999997</v>
      </c>
      <c r="O125" s="4">
        <v>1068508.4193399982</v>
      </c>
      <c r="P125" s="4">
        <v>1473566.385899998</v>
      </c>
      <c r="Q125">
        <v>2152978.8194967392</v>
      </c>
      <c r="R125">
        <v>4</v>
      </c>
      <c r="S125" s="4">
        <v>0</v>
      </c>
      <c r="T125">
        <f t="shared" si="3"/>
        <v>-218.48933691997081</v>
      </c>
      <c r="U125">
        <f t="shared" si="4"/>
        <v>222.48933691997081</v>
      </c>
      <c r="V125">
        <v>1498841.2667360106</v>
      </c>
      <c r="W125">
        <v>0</v>
      </c>
      <c r="X125">
        <v>1683097.7486890189</v>
      </c>
      <c r="Y125">
        <v>2</v>
      </c>
      <c r="Z125">
        <f t="shared" si="5"/>
        <v>1.010696668866848E-2</v>
      </c>
    </row>
    <row r="126" spans="1:26" x14ac:dyDescent="0.3">
      <c r="A126">
        <v>20220614</v>
      </c>
      <c r="B126" s="5">
        <v>44726</v>
      </c>
      <c r="C126">
        <v>867463.50442149362</v>
      </c>
      <c r="D126">
        <v>967696.92009998299</v>
      </c>
      <c r="E126" s="5">
        <v>44726</v>
      </c>
      <c r="F126" s="4">
        <v>20220614</v>
      </c>
      <c r="G126" s="5"/>
      <c r="H126" s="4">
        <v>1007723.6181999979</v>
      </c>
      <c r="I126" s="4">
        <v>1311374.2211399979</v>
      </c>
      <c r="J126" s="4">
        <v>1441307.82546</v>
      </c>
      <c r="K126">
        <v>1079210.9769600001</v>
      </c>
      <c r="L126" s="4">
        <v>932423.05698000011</v>
      </c>
      <c r="M126" s="4">
        <v>917360.58421999612</v>
      </c>
      <c r="N126" s="4">
        <v>963743.26637999993</v>
      </c>
      <c r="O126" s="4">
        <v>1054859.527199998</v>
      </c>
      <c r="P126" s="4">
        <v>1454738.867679998</v>
      </c>
      <c r="Q126">
        <v>2152978.8194967392</v>
      </c>
      <c r="R126">
        <v>0</v>
      </c>
      <c r="S126" s="4">
        <v>0</v>
      </c>
      <c r="T126">
        <f t="shared" si="3"/>
        <v>0</v>
      </c>
      <c r="U126">
        <f t="shared" si="4"/>
        <v>0</v>
      </c>
      <c r="V126">
        <v>1498841.2667360106</v>
      </c>
      <c r="W126">
        <v>0</v>
      </c>
      <c r="X126">
        <v>1671456.5233020342</v>
      </c>
      <c r="Y126">
        <v>2</v>
      </c>
      <c r="Z126">
        <f t="shared" si="5"/>
        <v>-6.9165474174343764E-3</v>
      </c>
    </row>
    <row r="127" spans="1:26" x14ac:dyDescent="0.3">
      <c r="A127">
        <v>20220615</v>
      </c>
      <c r="B127" s="5">
        <v>44727</v>
      </c>
      <c r="C127">
        <v>861740.84768282506</v>
      </c>
      <c r="D127">
        <v>984731.71689998196</v>
      </c>
      <c r="E127" s="5">
        <v>44727</v>
      </c>
      <c r="F127" s="4">
        <v>20220615</v>
      </c>
      <c r="G127" s="5"/>
      <c r="H127" s="4">
        <v>1050628.1159399981</v>
      </c>
      <c r="I127" s="4">
        <v>1392310.875559998</v>
      </c>
      <c r="J127" s="4">
        <v>1470099.0708599999</v>
      </c>
      <c r="K127">
        <v>1105649.7663400001</v>
      </c>
      <c r="L127" s="4">
        <v>952654.25341999996</v>
      </c>
      <c r="M127" s="4">
        <v>937286.79599999601</v>
      </c>
      <c r="N127" s="4">
        <v>983924.04055999999</v>
      </c>
      <c r="O127" s="4">
        <v>1071868.5271199981</v>
      </c>
      <c r="P127" s="4">
        <v>1499205.9770999979</v>
      </c>
      <c r="Q127">
        <v>2152978.8194967392</v>
      </c>
      <c r="R127">
        <v>0</v>
      </c>
      <c r="S127" s="4">
        <v>0</v>
      </c>
      <c r="T127">
        <f t="shared" si="3"/>
        <v>0</v>
      </c>
      <c r="U127">
        <f t="shared" si="4"/>
        <v>0</v>
      </c>
      <c r="V127">
        <v>1487087.5447537547</v>
      </c>
      <c r="W127">
        <v>1</v>
      </c>
      <c r="X127">
        <v>1707075.7019361209</v>
      </c>
      <c r="Y127">
        <v>2</v>
      </c>
      <c r="Z127">
        <f t="shared" si="5"/>
        <v>2.1310263316762439E-2</v>
      </c>
    </row>
    <row r="128" spans="1:26" x14ac:dyDescent="0.3">
      <c r="A128">
        <v>20220616</v>
      </c>
      <c r="B128" s="5">
        <v>44728</v>
      </c>
      <c r="C128">
        <v>873686.29931340436</v>
      </c>
      <c r="D128">
        <v>992882.412599982</v>
      </c>
      <c r="E128" s="5">
        <v>44728</v>
      </c>
      <c r="F128" s="4">
        <v>20220616</v>
      </c>
      <c r="G128" s="5"/>
      <c r="H128" s="4">
        <v>1069033.1634599981</v>
      </c>
      <c r="I128" s="4">
        <v>1435104.900639998</v>
      </c>
      <c r="J128" s="4">
        <v>1457432.8148399999</v>
      </c>
      <c r="K128">
        <v>1126321.34238</v>
      </c>
      <c r="L128" s="4">
        <v>961472.64454000001</v>
      </c>
      <c r="M128" s="4">
        <v>945940.82693999598</v>
      </c>
      <c r="N128" s="4">
        <v>991189.91410000005</v>
      </c>
      <c r="O128" s="4">
        <v>1082338.091499998</v>
      </c>
      <c r="P128" s="4">
        <v>1510263.7461999981</v>
      </c>
      <c r="Q128">
        <v>2161133.1312053581</v>
      </c>
      <c r="R128">
        <v>1</v>
      </c>
      <c r="S128" s="4">
        <v>0</v>
      </c>
      <c r="T128">
        <f t="shared" si="3"/>
        <v>8154.3117086188868</v>
      </c>
      <c r="U128">
        <f t="shared" si="4"/>
        <v>-8153.3117086188868</v>
      </c>
      <c r="V128">
        <v>1492719.8253565216</v>
      </c>
      <c r="W128">
        <v>1</v>
      </c>
      <c r="X128">
        <v>1699424.3726935699</v>
      </c>
      <c r="Y128">
        <v>2</v>
      </c>
      <c r="Z128">
        <f t="shared" si="5"/>
        <v>-4.4821265008183654E-3</v>
      </c>
    </row>
    <row r="129" spans="1:26" x14ac:dyDescent="0.3">
      <c r="A129">
        <v>20220617</v>
      </c>
      <c r="B129" s="5">
        <v>44729</v>
      </c>
      <c r="C129">
        <v>878009.2991224071</v>
      </c>
      <c r="D129">
        <v>1000157.95369998</v>
      </c>
      <c r="E129" s="5">
        <v>44729</v>
      </c>
      <c r="F129" s="4">
        <v>20220617</v>
      </c>
      <c r="G129" s="5"/>
      <c r="H129" s="4">
        <v>1096815.5528999981</v>
      </c>
      <c r="I129" s="4">
        <v>1431020.2090799981</v>
      </c>
      <c r="J129" s="4">
        <v>1486882.27844</v>
      </c>
      <c r="K129">
        <v>1137725.76238</v>
      </c>
      <c r="L129" s="4">
        <v>969939.24849999999</v>
      </c>
      <c r="M129" s="4">
        <v>953253.20675999601</v>
      </c>
      <c r="N129" s="4">
        <v>1003291.5411599999</v>
      </c>
      <c r="O129" s="4">
        <v>1089349.234479998</v>
      </c>
      <c r="P129" s="4">
        <v>1512767.6774999979</v>
      </c>
      <c r="Q129">
        <v>2123565.917651827</v>
      </c>
      <c r="R129">
        <v>1</v>
      </c>
      <c r="S129" s="4">
        <v>0</v>
      </c>
      <c r="T129">
        <f t="shared" si="3"/>
        <v>-37567.213553531095</v>
      </c>
      <c r="U129">
        <f t="shared" si="4"/>
        <v>37568.213553531095</v>
      </c>
      <c r="V129">
        <v>1492719.8253565216</v>
      </c>
      <c r="W129">
        <v>0</v>
      </c>
      <c r="X129">
        <v>1692382.5642647669</v>
      </c>
      <c r="Y129">
        <v>2</v>
      </c>
      <c r="Z129">
        <f t="shared" si="5"/>
        <v>-4.1436433076699969E-3</v>
      </c>
    </row>
    <row r="130" spans="1:26" x14ac:dyDescent="0.3">
      <c r="A130">
        <v>20220620</v>
      </c>
      <c r="B130" s="5">
        <v>44732</v>
      </c>
      <c r="C130">
        <v>877008.36852140748</v>
      </c>
      <c r="D130">
        <v>996895.32519998203</v>
      </c>
      <c r="E130" s="5">
        <v>44732</v>
      </c>
      <c r="F130" s="4">
        <v>20220620</v>
      </c>
      <c r="G130" s="5"/>
      <c r="H130" s="4">
        <v>1101393.111859998</v>
      </c>
      <c r="I130" s="4">
        <v>1456638.9809399978</v>
      </c>
      <c r="J130" s="4">
        <v>1478515.9505599979</v>
      </c>
      <c r="K130">
        <v>1153792.2789400001</v>
      </c>
      <c r="L130" s="4">
        <v>966624.50383999792</v>
      </c>
      <c r="M130" s="4">
        <v>949995.71907999611</v>
      </c>
      <c r="N130" s="4">
        <v>1010043.37426</v>
      </c>
      <c r="O130" s="4">
        <v>1097396.7849799979</v>
      </c>
      <c r="P130" s="4">
        <v>1525620.2651399979</v>
      </c>
      <c r="Q130">
        <v>2188103.6949946475</v>
      </c>
      <c r="R130">
        <v>2</v>
      </c>
      <c r="S130" s="4">
        <v>0</v>
      </c>
      <c r="T130">
        <f t="shared" si="3"/>
        <v>64537.77734282054</v>
      </c>
      <c r="U130">
        <f t="shared" si="4"/>
        <v>-64535.77734282054</v>
      </c>
      <c r="V130">
        <v>1492719.8253565216</v>
      </c>
      <c r="W130">
        <v>0</v>
      </c>
      <c r="X130">
        <v>1743814.013849776</v>
      </c>
      <c r="Y130">
        <v>2</v>
      </c>
      <c r="Z130">
        <f t="shared" si="5"/>
        <v>3.0389966589707124E-2</v>
      </c>
    </row>
    <row r="131" spans="1:26" x14ac:dyDescent="0.3">
      <c r="A131">
        <v>20220621</v>
      </c>
      <c r="B131" s="5">
        <v>44733</v>
      </c>
      <c r="C131">
        <v>865854.57609055226</v>
      </c>
      <c r="D131">
        <v>1001871.42249998</v>
      </c>
      <c r="E131" s="5">
        <v>44733</v>
      </c>
      <c r="F131" s="4">
        <v>20220621</v>
      </c>
      <c r="G131" s="5"/>
      <c r="H131" s="4">
        <v>1113502.871959998</v>
      </c>
      <c r="I131" s="4">
        <v>1451490.8703799979</v>
      </c>
      <c r="J131" s="4">
        <v>1519750.9020599979</v>
      </c>
      <c r="K131">
        <v>1166861.60448</v>
      </c>
      <c r="L131" s="4">
        <v>973281.13477999996</v>
      </c>
      <c r="M131" s="4">
        <v>954725.247119996</v>
      </c>
      <c r="N131" s="4">
        <v>1023625.88904</v>
      </c>
      <c r="O131" s="4">
        <v>1097813.842759998</v>
      </c>
      <c r="P131" s="4">
        <v>1554188.263459998</v>
      </c>
      <c r="Q131">
        <v>2188103.6949946475</v>
      </c>
      <c r="R131">
        <v>0</v>
      </c>
      <c r="S131" s="4">
        <v>0</v>
      </c>
      <c r="T131">
        <f t="shared" si="3"/>
        <v>0</v>
      </c>
      <c r="U131">
        <f t="shared" si="4"/>
        <v>0</v>
      </c>
      <c r="V131">
        <v>1511252.9648495261</v>
      </c>
      <c r="W131">
        <v>2</v>
      </c>
      <c r="X131">
        <v>1831869.7833064385</v>
      </c>
      <c r="Y131">
        <v>1</v>
      </c>
      <c r="Z131">
        <f t="shared" si="5"/>
        <v>5.0496078571053503E-2</v>
      </c>
    </row>
    <row r="132" spans="1:26" x14ac:dyDescent="0.3">
      <c r="A132">
        <v>20220622</v>
      </c>
      <c r="B132" s="5">
        <v>44734</v>
      </c>
      <c r="C132">
        <v>880692.72596101614</v>
      </c>
      <c r="D132">
        <v>1000375.15539998</v>
      </c>
      <c r="E132" s="5">
        <v>44734</v>
      </c>
      <c r="F132" s="4">
        <v>20220622</v>
      </c>
      <c r="G132" s="5"/>
      <c r="H132" s="4">
        <v>1121980.618279998</v>
      </c>
      <c r="I132" s="4">
        <v>1443981.540619998</v>
      </c>
      <c r="J132" s="4">
        <v>1501733.59094</v>
      </c>
      <c r="K132">
        <v>1180595.5178799999</v>
      </c>
      <c r="L132" s="4">
        <v>971701.25397999992</v>
      </c>
      <c r="M132" s="4">
        <v>953207.16017999593</v>
      </c>
      <c r="N132" s="4">
        <v>1019416.1448000001</v>
      </c>
      <c r="O132" s="4">
        <v>1103253.457599998</v>
      </c>
      <c r="P132" s="4">
        <v>1559235.347219998</v>
      </c>
      <c r="Q132">
        <v>2188103.6949946475</v>
      </c>
      <c r="R132">
        <v>0</v>
      </c>
      <c r="S132" s="4">
        <v>0</v>
      </c>
      <c r="T132">
        <f t="shared" ref="T132:T195" si="6">Q132-Q131</f>
        <v>0</v>
      </c>
      <c r="U132">
        <f t="shared" ref="U132:U195" si="7">R132-T132</f>
        <v>0</v>
      </c>
      <c r="V132">
        <v>1518537.1812278889</v>
      </c>
      <c r="W132">
        <v>2</v>
      </c>
      <c r="X132">
        <v>1832018.7376154338</v>
      </c>
      <c r="Y132">
        <v>1</v>
      </c>
      <c r="Z132">
        <f t="shared" ref="Z132:Z195" si="8">(X132-X131)/X131</f>
        <v>8.1312716849569434E-5</v>
      </c>
    </row>
    <row r="133" spans="1:26" x14ac:dyDescent="0.3">
      <c r="A133">
        <v>20220623</v>
      </c>
      <c r="B133" s="5">
        <v>44735</v>
      </c>
      <c r="C133">
        <v>890996.8308547599</v>
      </c>
      <c r="D133">
        <v>1021905.30109998</v>
      </c>
      <c r="E133" s="5">
        <v>44735</v>
      </c>
      <c r="F133" s="4">
        <v>20220623</v>
      </c>
      <c r="G133" s="5"/>
      <c r="H133" s="4">
        <v>1147023.5594399979</v>
      </c>
      <c r="I133" s="4">
        <v>1495834.3810599982</v>
      </c>
      <c r="J133" s="4">
        <v>1559986.2819199979</v>
      </c>
      <c r="K133">
        <v>1235107.15386</v>
      </c>
      <c r="L133" s="4">
        <v>993425.608439998</v>
      </c>
      <c r="M133" s="4">
        <v>974400.61305999605</v>
      </c>
      <c r="N133" s="4">
        <v>1036793.0826999999</v>
      </c>
      <c r="O133" s="4">
        <v>1146936.361379998</v>
      </c>
      <c r="P133" s="4">
        <v>1595346.4763599981</v>
      </c>
      <c r="Q133">
        <v>2259052.1035674717</v>
      </c>
      <c r="R133">
        <v>1</v>
      </c>
      <c r="S133" s="4">
        <v>0</v>
      </c>
      <c r="T133">
        <f t="shared" si="6"/>
        <v>70948.408572824206</v>
      </c>
      <c r="U133">
        <f t="shared" si="7"/>
        <v>-70947.408572824206</v>
      </c>
      <c r="V133">
        <v>1550228.5386663037</v>
      </c>
      <c r="W133">
        <v>2</v>
      </c>
      <c r="X133">
        <v>1891421.2166145919</v>
      </c>
      <c r="Y133">
        <v>1</v>
      </c>
      <c r="Z133">
        <f t="shared" si="8"/>
        <v>3.2424602314099008E-2</v>
      </c>
    </row>
    <row r="134" spans="1:26" x14ac:dyDescent="0.3">
      <c r="A134">
        <v>20220624</v>
      </c>
      <c r="B134" s="5">
        <v>44736</v>
      </c>
      <c r="C134">
        <v>901016.98121455254</v>
      </c>
      <c r="D134">
        <v>1046036.0248999801</v>
      </c>
      <c r="E134" s="5">
        <v>44736</v>
      </c>
      <c r="F134" s="4">
        <v>20220624</v>
      </c>
      <c r="G134" s="5"/>
      <c r="H134" s="4">
        <v>1156493.8359199981</v>
      </c>
      <c r="I134" s="4">
        <v>1539723.708919998</v>
      </c>
      <c r="J134" s="4">
        <v>1558984.9321799981</v>
      </c>
      <c r="K134">
        <v>1236839.3909800001</v>
      </c>
      <c r="L134" s="4">
        <v>1019738.5580599981</v>
      </c>
      <c r="M134" s="4">
        <v>999328.82367999596</v>
      </c>
      <c r="N134" s="4">
        <v>1066823.3425</v>
      </c>
      <c r="O134" s="4">
        <v>1138209.3697599978</v>
      </c>
      <c r="P134" s="4">
        <v>1628272.542359998</v>
      </c>
      <c r="Q134">
        <v>2129435.083454309</v>
      </c>
      <c r="R134">
        <v>1</v>
      </c>
      <c r="S134" s="4">
        <v>0</v>
      </c>
      <c r="T134">
        <f t="shared" si="6"/>
        <v>-129617.0201131627</v>
      </c>
      <c r="U134">
        <f t="shared" si="7"/>
        <v>129618.0201131627</v>
      </c>
      <c r="V134">
        <v>1550228.5386663037</v>
      </c>
      <c r="W134">
        <v>0</v>
      </c>
      <c r="X134">
        <v>1782898.8113307818</v>
      </c>
      <c r="Y134">
        <v>1</v>
      </c>
      <c r="Z134">
        <f t="shared" si="8"/>
        <v>-5.7376117139074749E-2</v>
      </c>
    </row>
    <row r="135" spans="1:26" x14ac:dyDescent="0.3">
      <c r="A135">
        <v>20220627</v>
      </c>
      <c r="B135" s="5">
        <v>44739</v>
      </c>
      <c r="C135">
        <v>910379.44866635301</v>
      </c>
      <c r="D135">
        <v>1079677.9281999799</v>
      </c>
      <c r="E135" s="5">
        <v>44739</v>
      </c>
      <c r="F135" s="4">
        <v>20220627</v>
      </c>
      <c r="G135" s="5"/>
      <c r="H135" s="4">
        <v>1217150.548019998</v>
      </c>
      <c r="I135" s="4">
        <v>1603735.351839998</v>
      </c>
      <c r="J135" s="4">
        <v>1604679.445119998</v>
      </c>
      <c r="K135">
        <v>1272032.9917199998</v>
      </c>
      <c r="L135" s="4">
        <v>1053050.6792799979</v>
      </c>
      <c r="M135" s="4">
        <v>1033550.566819996</v>
      </c>
      <c r="N135" s="4">
        <v>1100278.3394200001</v>
      </c>
      <c r="O135" s="4">
        <v>1178461.381339998</v>
      </c>
      <c r="P135" s="4">
        <v>1685890.833179998</v>
      </c>
      <c r="Q135">
        <v>2101649.5229439558</v>
      </c>
      <c r="R135">
        <v>1</v>
      </c>
      <c r="S135" s="4">
        <v>0</v>
      </c>
      <c r="T135">
        <f t="shared" si="6"/>
        <v>-27785.560510353185</v>
      </c>
      <c r="U135">
        <f t="shared" si="7"/>
        <v>27786.560510353185</v>
      </c>
      <c r="V135">
        <v>1603872.5811445825</v>
      </c>
      <c r="W135">
        <v>3</v>
      </c>
      <c r="X135">
        <v>1759635.2380501614</v>
      </c>
      <c r="Y135">
        <v>1</v>
      </c>
      <c r="Z135">
        <f t="shared" si="8"/>
        <v>-1.3048173644389901E-2</v>
      </c>
    </row>
    <row r="136" spans="1:26" x14ac:dyDescent="0.3">
      <c r="A136">
        <v>20220628</v>
      </c>
      <c r="B136" s="5">
        <v>44740</v>
      </c>
      <c r="C136">
        <v>896344.12870626396</v>
      </c>
      <c r="D136">
        <v>1052431.0316999799</v>
      </c>
      <c r="E136" s="5">
        <v>44740</v>
      </c>
      <c r="F136" s="4">
        <v>20220628</v>
      </c>
      <c r="G136" s="5"/>
      <c r="H136" s="4">
        <v>1180103.5648199979</v>
      </c>
      <c r="I136" s="4">
        <v>1565596.8849399979</v>
      </c>
      <c r="J136" s="4">
        <v>1540608.1368599979</v>
      </c>
      <c r="K136">
        <v>1234400.41408</v>
      </c>
      <c r="L136" s="4">
        <v>1021052.662559998</v>
      </c>
      <c r="M136" s="4">
        <v>1002291.3296999959</v>
      </c>
      <c r="N136" s="4">
        <v>1065332.3702199999</v>
      </c>
      <c r="O136" s="4">
        <v>1148857.5326199981</v>
      </c>
      <c r="P136" s="4">
        <v>1636777.475859998</v>
      </c>
      <c r="Q136">
        <v>2101649.5229439558</v>
      </c>
      <c r="R136">
        <v>0</v>
      </c>
      <c r="S136" s="4">
        <v>0</v>
      </c>
      <c r="T136">
        <f t="shared" si="6"/>
        <v>0</v>
      </c>
      <c r="U136">
        <f t="shared" si="7"/>
        <v>0</v>
      </c>
      <c r="V136">
        <v>1555262.5915620083</v>
      </c>
      <c r="W136">
        <v>3</v>
      </c>
      <c r="X136">
        <v>1699063.8264456254</v>
      </c>
      <c r="Y136">
        <v>1</v>
      </c>
      <c r="Z136">
        <f t="shared" si="8"/>
        <v>-3.4422708919863827E-2</v>
      </c>
    </row>
    <row r="137" spans="1:26" x14ac:dyDescent="0.3">
      <c r="A137">
        <v>20220629</v>
      </c>
      <c r="B137" s="5">
        <v>44741</v>
      </c>
      <c r="C137">
        <v>909234.45362118876</v>
      </c>
      <c r="D137">
        <v>1063489.10909998</v>
      </c>
      <c r="E137" s="5">
        <v>44741</v>
      </c>
      <c r="F137" s="4">
        <v>20220629</v>
      </c>
      <c r="G137" s="5"/>
      <c r="H137" s="4">
        <v>1206042.9212599979</v>
      </c>
      <c r="I137" s="4">
        <v>1606452.5368999981</v>
      </c>
      <c r="J137" s="4">
        <v>1528352.7733599979</v>
      </c>
      <c r="K137">
        <v>1254501.5528599999</v>
      </c>
      <c r="L137" s="4">
        <v>1033446.361699998</v>
      </c>
      <c r="M137" s="4">
        <v>1017119.901559994</v>
      </c>
      <c r="N137" s="4">
        <v>1079431.9767200002</v>
      </c>
      <c r="O137" s="4">
        <v>1125030.333819998</v>
      </c>
      <c r="P137" s="4">
        <v>1631599.284959998</v>
      </c>
      <c r="Q137">
        <v>2101649.5229439558</v>
      </c>
      <c r="R137">
        <v>0</v>
      </c>
      <c r="S137" s="4">
        <v>0</v>
      </c>
      <c r="T137">
        <f t="shared" si="6"/>
        <v>0</v>
      </c>
      <c r="U137">
        <f t="shared" si="7"/>
        <v>0</v>
      </c>
      <c r="V137">
        <v>1620783.2526987784</v>
      </c>
      <c r="W137">
        <v>1</v>
      </c>
      <c r="X137">
        <v>1770642.2453379959</v>
      </c>
      <c r="Y137">
        <v>1</v>
      </c>
      <c r="Z137">
        <f t="shared" si="8"/>
        <v>4.2128151855313031E-2</v>
      </c>
    </row>
    <row r="138" spans="1:26" x14ac:dyDescent="0.3">
      <c r="A138">
        <v>20220630</v>
      </c>
      <c r="B138" s="5">
        <v>44742</v>
      </c>
      <c r="C138">
        <v>905511.13853360992</v>
      </c>
      <c r="D138">
        <v>1075306.4697999801</v>
      </c>
      <c r="E138" s="5">
        <v>44742</v>
      </c>
      <c r="F138" s="4">
        <v>20220630</v>
      </c>
      <c r="G138" s="5"/>
      <c r="H138" s="4">
        <v>1239198.3329199979</v>
      </c>
      <c r="I138" s="4">
        <v>1638342.898039998</v>
      </c>
      <c r="J138" s="4">
        <v>1547495.2514599981</v>
      </c>
      <c r="K138">
        <v>1267275.0129799999</v>
      </c>
      <c r="L138" s="4">
        <v>1043745.8416599979</v>
      </c>
      <c r="M138" s="4">
        <v>1028080.798159994</v>
      </c>
      <c r="N138" s="4">
        <v>1091461.2420000001</v>
      </c>
      <c r="O138" s="4">
        <v>1153443.7610399979</v>
      </c>
      <c r="P138" s="4">
        <v>1660795.0359199981</v>
      </c>
      <c r="Q138">
        <v>2130823.9146533678</v>
      </c>
      <c r="R138">
        <v>2</v>
      </c>
      <c r="S138" s="4">
        <v>0</v>
      </c>
      <c r="T138">
        <f t="shared" si="6"/>
        <v>29174.391709411982</v>
      </c>
      <c r="U138">
        <f t="shared" si="7"/>
        <v>-29172.391709411982</v>
      </c>
      <c r="V138">
        <v>1631763.801443825</v>
      </c>
      <c r="W138">
        <v>1</v>
      </c>
      <c r="X138">
        <v>1782638.0485931467</v>
      </c>
      <c r="Y138">
        <v>1</v>
      </c>
      <c r="Z138">
        <f t="shared" si="8"/>
        <v>6.7748317237629942E-3</v>
      </c>
    </row>
    <row r="139" spans="1:26" x14ac:dyDescent="0.3">
      <c r="A139">
        <v>20220701</v>
      </c>
      <c r="B139" s="5">
        <v>44743</v>
      </c>
      <c r="C139">
        <v>911438.61444645096</v>
      </c>
      <c r="D139">
        <v>1091551.5607999801</v>
      </c>
      <c r="E139" s="5">
        <v>44743</v>
      </c>
      <c r="F139" s="4">
        <v>20220701</v>
      </c>
      <c r="G139" s="5" t="s">
        <v>10</v>
      </c>
      <c r="H139" s="4">
        <v>1258165.846639998</v>
      </c>
      <c r="I139" s="4">
        <v>1642162.020099998</v>
      </c>
      <c r="J139" s="4">
        <v>1566607.1111799979</v>
      </c>
      <c r="K139">
        <v>1315711.7521199998</v>
      </c>
      <c r="L139" s="4">
        <v>1060808.43034</v>
      </c>
      <c r="M139" s="4">
        <v>1043009.1278999939</v>
      </c>
      <c r="N139" s="4">
        <v>1118347.2111800001</v>
      </c>
      <c r="O139" s="4">
        <v>1176215.5002399979</v>
      </c>
      <c r="P139" s="4">
        <v>1729490.192859998</v>
      </c>
      <c r="Q139">
        <v>2319521.0442851898</v>
      </c>
      <c r="R139">
        <v>1</v>
      </c>
      <c r="S139" s="4">
        <v>0</v>
      </c>
      <c r="T139">
        <f t="shared" si="6"/>
        <v>188697.129631822</v>
      </c>
      <c r="U139">
        <f t="shared" si="7"/>
        <v>-188696.129631822</v>
      </c>
      <c r="V139">
        <v>1631763.801443825</v>
      </c>
      <c r="W139">
        <v>0</v>
      </c>
      <c r="X139">
        <v>1920023.678942068</v>
      </c>
      <c r="Y139">
        <v>2</v>
      </c>
      <c r="Z139">
        <f t="shared" si="8"/>
        <v>7.706871872130501E-2</v>
      </c>
    </row>
    <row r="140" spans="1:26" x14ac:dyDescent="0.3">
      <c r="A140">
        <v>20220704</v>
      </c>
      <c r="B140" s="5">
        <v>44746</v>
      </c>
      <c r="C140">
        <v>910107.91406935919</v>
      </c>
      <c r="D140">
        <v>1079827.90129998</v>
      </c>
      <c r="E140" s="5">
        <v>44746</v>
      </c>
      <c r="F140" s="4">
        <v>20220704</v>
      </c>
      <c r="G140" s="5"/>
      <c r="H140" s="4">
        <v>1233520.113999998</v>
      </c>
      <c r="I140" s="4">
        <v>1609349.826819998</v>
      </c>
      <c r="J140" s="4">
        <v>1509097.880919998</v>
      </c>
      <c r="K140">
        <v>1288212.6082200001</v>
      </c>
      <c r="L140" s="4">
        <v>1046523.5541600001</v>
      </c>
      <c r="M140" s="4">
        <v>1029306.658999994</v>
      </c>
      <c r="N140" s="4">
        <v>1102401.7208</v>
      </c>
      <c r="O140" s="4">
        <v>1144967.3010599981</v>
      </c>
      <c r="P140" s="4">
        <v>1676866.709279998</v>
      </c>
      <c r="Q140">
        <v>2142402.2762201447</v>
      </c>
      <c r="R140">
        <v>1</v>
      </c>
      <c r="S140" s="4">
        <v>0</v>
      </c>
      <c r="T140">
        <f t="shared" si="6"/>
        <v>-177118.76806504512</v>
      </c>
      <c r="U140">
        <f t="shared" si="7"/>
        <v>177119.76806504512</v>
      </c>
      <c r="V140">
        <v>1562546.3551693852</v>
      </c>
      <c r="W140">
        <v>2</v>
      </c>
      <c r="X140">
        <v>1838582.900411706</v>
      </c>
      <c r="Y140">
        <v>2</v>
      </c>
      <c r="Z140">
        <f t="shared" si="8"/>
        <v>-4.2416549037163902E-2</v>
      </c>
    </row>
    <row r="141" spans="1:26" x14ac:dyDescent="0.3">
      <c r="A141">
        <v>20220705</v>
      </c>
      <c r="B141" s="5">
        <v>44747</v>
      </c>
      <c r="C141">
        <v>896801.22625775111</v>
      </c>
      <c r="D141">
        <v>1062658.4613999799</v>
      </c>
      <c r="E141" s="5">
        <v>44747</v>
      </c>
      <c r="F141" s="4">
        <v>20220705</v>
      </c>
      <c r="G141" s="5"/>
      <c r="H141" s="4">
        <v>1206389.6914999981</v>
      </c>
      <c r="I141" s="4">
        <v>1574362.487719998</v>
      </c>
      <c r="J141" s="4">
        <v>1502187.901099998</v>
      </c>
      <c r="K141">
        <v>1258624.0348200002</v>
      </c>
      <c r="L141" s="4">
        <v>1028875.2353399999</v>
      </c>
      <c r="M141" s="4">
        <v>1012097.428319994</v>
      </c>
      <c r="N141" s="4">
        <v>1087948.4502399999</v>
      </c>
      <c r="O141" s="4">
        <v>1150717.086939998</v>
      </c>
      <c r="P141" s="4">
        <v>1670902.800459998</v>
      </c>
      <c r="Q141">
        <v>2142402.2762201447</v>
      </c>
      <c r="R141">
        <v>0</v>
      </c>
      <c r="S141" s="4">
        <v>0</v>
      </c>
      <c r="T141">
        <f t="shared" si="6"/>
        <v>0</v>
      </c>
      <c r="U141">
        <f t="shared" si="7"/>
        <v>0</v>
      </c>
      <c r="V141">
        <v>1556841.8042438526</v>
      </c>
      <c r="W141">
        <v>2</v>
      </c>
      <c r="X141">
        <v>1831870.6592567307</v>
      </c>
      <c r="Y141">
        <v>2</v>
      </c>
      <c r="Z141">
        <f t="shared" si="8"/>
        <v>-3.6507688358638681E-3</v>
      </c>
    </row>
    <row r="142" spans="1:26" x14ac:dyDescent="0.3">
      <c r="A142">
        <v>20220706</v>
      </c>
      <c r="B142" s="5">
        <v>44748</v>
      </c>
      <c r="C142">
        <v>900740.87404470146</v>
      </c>
      <c r="D142">
        <v>1089040.0205999799</v>
      </c>
      <c r="E142" s="5">
        <v>44748</v>
      </c>
      <c r="F142" s="4">
        <v>20220706</v>
      </c>
      <c r="G142" s="5"/>
      <c r="H142" s="4">
        <v>1218596.107219998</v>
      </c>
      <c r="I142" s="4">
        <v>1572680.7501799981</v>
      </c>
      <c r="J142" s="4">
        <v>1491702.130819998</v>
      </c>
      <c r="K142">
        <v>1258435.58898</v>
      </c>
      <c r="L142" s="4">
        <v>1057103.5015199981</v>
      </c>
      <c r="M142" s="4">
        <v>1038457.426359994</v>
      </c>
      <c r="N142" s="4">
        <v>1134319.1892000001</v>
      </c>
      <c r="O142" s="4">
        <v>1199822.0940199981</v>
      </c>
      <c r="P142" s="4">
        <v>1690806.9188599982</v>
      </c>
      <c r="Q142">
        <v>2142402.2762201447</v>
      </c>
      <c r="R142">
        <v>0</v>
      </c>
      <c r="S142" s="4">
        <v>0</v>
      </c>
      <c r="T142">
        <f t="shared" si="6"/>
        <v>0</v>
      </c>
      <c r="U142">
        <f t="shared" si="7"/>
        <v>0</v>
      </c>
      <c r="V142">
        <v>1543173.7677236088</v>
      </c>
      <c r="W142">
        <v>3</v>
      </c>
      <c r="X142">
        <v>1811698.0873727368</v>
      </c>
      <c r="Y142">
        <v>2</v>
      </c>
      <c r="Z142">
        <f t="shared" si="8"/>
        <v>-1.1012006651265876E-2</v>
      </c>
    </row>
    <row r="143" spans="1:26" x14ac:dyDescent="0.3">
      <c r="A143">
        <v>20220707</v>
      </c>
      <c r="B143" s="5">
        <v>44749</v>
      </c>
      <c r="C143">
        <v>897747.7121202508</v>
      </c>
      <c r="D143">
        <v>1085697.6476999801</v>
      </c>
      <c r="E143" s="5">
        <v>44749</v>
      </c>
      <c r="F143" s="4">
        <v>20220707</v>
      </c>
      <c r="G143" s="5"/>
      <c r="H143" s="4">
        <v>1229508.3208199979</v>
      </c>
      <c r="I143" s="4">
        <v>1580571.609319998</v>
      </c>
      <c r="J143" s="4">
        <v>1453026.389899998</v>
      </c>
      <c r="K143">
        <v>1284172.76764</v>
      </c>
      <c r="L143" s="4">
        <v>1051641.2641599979</v>
      </c>
      <c r="M143" s="4">
        <v>1030984.7482199941</v>
      </c>
      <c r="N143" s="4">
        <v>1165023.4771199999</v>
      </c>
      <c r="O143" s="4">
        <v>1224434.0184599981</v>
      </c>
      <c r="P143" s="4">
        <v>1679446.6230199982</v>
      </c>
      <c r="Q143">
        <v>2166711.2327169166</v>
      </c>
      <c r="R143">
        <v>2</v>
      </c>
      <c r="S143" s="4">
        <v>0</v>
      </c>
      <c r="T143">
        <f t="shared" si="6"/>
        <v>24308.956496771891</v>
      </c>
      <c r="U143">
        <f t="shared" si="7"/>
        <v>-24306.956496771891</v>
      </c>
      <c r="V143">
        <v>1557930.4949454148</v>
      </c>
      <c r="W143">
        <v>3</v>
      </c>
      <c r="X143">
        <v>1832254.2002746814</v>
      </c>
      <c r="Y143">
        <v>2</v>
      </c>
      <c r="Z143">
        <f t="shared" si="8"/>
        <v>1.1346323675681773E-2</v>
      </c>
    </row>
    <row r="144" spans="1:26" x14ac:dyDescent="0.3">
      <c r="A144">
        <v>20220708</v>
      </c>
      <c r="B144" s="5">
        <v>44750</v>
      </c>
      <c r="C144">
        <v>882699.66496969131</v>
      </c>
      <c r="D144">
        <v>1070981.6004999799</v>
      </c>
      <c r="E144" s="5">
        <v>44750</v>
      </c>
      <c r="F144" s="4">
        <v>20220708</v>
      </c>
      <c r="G144" s="5"/>
      <c r="H144" s="4">
        <v>1240658.2806399981</v>
      </c>
      <c r="I144" s="4">
        <v>1586110.8533399981</v>
      </c>
      <c r="J144" s="4">
        <v>1391152.473619998</v>
      </c>
      <c r="K144">
        <v>1274955.07806</v>
      </c>
      <c r="L144" s="4">
        <v>1034657.2473599979</v>
      </c>
      <c r="M144" s="4">
        <v>1015457.7478599939</v>
      </c>
      <c r="N144" s="4">
        <v>1142382.88904</v>
      </c>
      <c r="O144" s="4">
        <v>1212750.028299998</v>
      </c>
      <c r="P144" s="4">
        <v>1717855.9660599981</v>
      </c>
      <c r="Q144">
        <v>2194989.3988878191</v>
      </c>
      <c r="R144">
        <v>2</v>
      </c>
      <c r="S144" s="4">
        <v>0</v>
      </c>
      <c r="T144">
        <f t="shared" si="6"/>
        <v>28278.16617090255</v>
      </c>
      <c r="U144">
        <f t="shared" si="7"/>
        <v>-28276.16617090255</v>
      </c>
      <c r="V144">
        <v>1582975.8775625883</v>
      </c>
      <c r="W144">
        <v>1</v>
      </c>
      <c r="X144">
        <v>1856166.8821879115</v>
      </c>
      <c r="Y144">
        <v>2</v>
      </c>
      <c r="Z144">
        <f t="shared" si="8"/>
        <v>1.3050963075781323E-2</v>
      </c>
    </row>
    <row r="145" spans="1:26" x14ac:dyDescent="0.3">
      <c r="A145">
        <v>20220711</v>
      </c>
      <c r="B145" s="5">
        <v>44753</v>
      </c>
      <c r="C145">
        <v>874374.92442936206</v>
      </c>
      <c r="D145">
        <v>1055772.4166999799</v>
      </c>
      <c r="E145" s="5">
        <v>44753</v>
      </c>
      <c r="F145" s="4">
        <v>20220711</v>
      </c>
      <c r="G145" s="5"/>
      <c r="H145" s="4">
        <v>1263620.4792599981</v>
      </c>
      <c r="I145" s="4">
        <v>1585673.676139998</v>
      </c>
      <c r="J145" s="4">
        <v>1387691.582479998</v>
      </c>
      <c r="K145">
        <v>1268160.1636600001</v>
      </c>
      <c r="L145" s="4">
        <v>1014421.395479998</v>
      </c>
      <c r="M145" s="4">
        <v>997261.88505999406</v>
      </c>
      <c r="N145" s="4">
        <v>1126599.4722200001</v>
      </c>
      <c r="O145" s="4">
        <v>1184171.564779998</v>
      </c>
      <c r="P145" s="4">
        <v>1745330.1477199979</v>
      </c>
      <c r="Q145">
        <v>2189764.8110388</v>
      </c>
      <c r="R145">
        <v>1</v>
      </c>
      <c r="S145" s="4">
        <v>0</v>
      </c>
      <c r="T145">
        <f t="shared" si="6"/>
        <v>-5224.5878490190953</v>
      </c>
      <c r="U145">
        <f t="shared" si="7"/>
        <v>5225.5878490190953</v>
      </c>
      <c r="V145">
        <v>1579208.0247000984</v>
      </c>
      <c r="W145">
        <v>1</v>
      </c>
      <c r="X145">
        <v>1866898.9698630965</v>
      </c>
      <c r="Y145">
        <v>2</v>
      </c>
      <c r="Z145">
        <f t="shared" si="8"/>
        <v>5.7818549496663554E-3</v>
      </c>
    </row>
    <row r="146" spans="1:26" x14ac:dyDescent="0.3">
      <c r="A146">
        <v>20220712</v>
      </c>
      <c r="B146" s="5">
        <v>44754</v>
      </c>
      <c r="C146">
        <v>875950.54804318375</v>
      </c>
      <c r="D146">
        <v>1056801.16759998</v>
      </c>
      <c r="E146" s="5">
        <v>44754</v>
      </c>
      <c r="F146" s="4">
        <v>20220712</v>
      </c>
      <c r="G146" s="5"/>
      <c r="H146" s="4">
        <v>1303453.517199998</v>
      </c>
      <c r="I146" s="4">
        <v>1635669.613419998</v>
      </c>
      <c r="J146" s="4">
        <v>1439696.020739998</v>
      </c>
      <c r="K146">
        <v>1312444.7951</v>
      </c>
      <c r="L146" s="4">
        <v>1016373.6520199981</v>
      </c>
      <c r="M146" s="4">
        <v>999075.41683999391</v>
      </c>
      <c r="N146" s="4">
        <v>1129380.2413799982</v>
      </c>
      <c r="O146" s="4">
        <v>1208583.2488599981</v>
      </c>
      <c r="P146" s="4">
        <v>1847922.368899998</v>
      </c>
      <c r="Q146">
        <v>2317000.802263896</v>
      </c>
      <c r="R146">
        <v>1</v>
      </c>
      <c r="S146" s="4">
        <v>0</v>
      </c>
      <c r="T146">
        <f t="shared" si="6"/>
        <v>127235.99122509593</v>
      </c>
      <c r="U146">
        <f t="shared" si="7"/>
        <v>-127234.99122509593</v>
      </c>
      <c r="V146">
        <v>1670967.7256477985</v>
      </c>
      <c r="W146">
        <v>1</v>
      </c>
      <c r="X146">
        <v>1939676.6819435852</v>
      </c>
      <c r="Y146">
        <v>2</v>
      </c>
      <c r="Z146">
        <f t="shared" si="8"/>
        <v>3.8983208655273736E-2</v>
      </c>
    </row>
    <row r="147" spans="1:26" x14ac:dyDescent="0.3">
      <c r="A147">
        <v>20220713</v>
      </c>
      <c r="B147" s="5">
        <v>44755</v>
      </c>
      <c r="C147">
        <v>876060.91781223717</v>
      </c>
      <c r="D147">
        <v>1059609.19719998</v>
      </c>
      <c r="E147" s="5">
        <v>44755</v>
      </c>
      <c r="F147" s="4">
        <v>20220713</v>
      </c>
      <c r="G147" s="5"/>
      <c r="H147" s="4">
        <v>1347371.966379998</v>
      </c>
      <c r="I147" s="4">
        <v>1669883.1430999979</v>
      </c>
      <c r="J147" s="4">
        <v>1403321.1120399979</v>
      </c>
      <c r="K147">
        <v>1320773.8647</v>
      </c>
      <c r="L147" s="4">
        <v>1022312.025499998</v>
      </c>
      <c r="M147" s="4">
        <v>1004445.877899996</v>
      </c>
      <c r="N147" s="4">
        <v>1120917.7534799981</v>
      </c>
      <c r="O147" s="4">
        <v>1251438.0212399981</v>
      </c>
      <c r="P147" s="4">
        <v>1910229.0210999982</v>
      </c>
      <c r="Q147">
        <v>2395206.990996806</v>
      </c>
      <c r="R147">
        <v>4</v>
      </c>
      <c r="S147" s="4">
        <v>0</v>
      </c>
      <c r="T147">
        <f t="shared" si="6"/>
        <v>78206.18873290997</v>
      </c>
      <c r="U147">
        <f t="shared" si="7"/>
        <v>-78202.18873290997</v>
      </c>
      <c r="V147">
        <v>1727368.1948968072</v>
      </c>
      <c r="W147">
        <v>4</v>
      </c>
      <c r="X147">
        <v>1985660.0188884705</v>
      </c>
      <c r="Y147">
        <v>2</v>
      </c>
      <c r="Z147">
        <f t="shared" si="8"/>
        <v>2.3706701932823839E-2</v>
      </c>
    </row>
    <row r="148" spans="1:26" x14ac:dyDescent="0.3">
      <c r="A148">
        <v>20220714</v>
      </c>
      <c r="B148" s="5">
        <v>44756</v>
      </c>
      <c r="C148">
        <v>861138.9721991414</v>
      </c>
      <c r="D148">
        <v>1059318.51959998</v>
      </c>
      <c r="E148" s="5">
        <v>44756</v>
      </c>
      <c r="F148" s="4">
        <v>20220714</v>
      </c>
      <c r="G148" s="5"/>
      <c r="H148" s="4">
        <v>1336890.8701399979</v>
      </c>
      <c r="I148" s="4">
        <v>1662564.0879599978</v>
      </c>
      <c r="J148" s="4">
        <v>1418711.4051399981</v>
      </c>
      <c r="K148">
        <v>1376046.9701</v>
      </c>
      <c r="L148" s="4">
        <v>1028212.061799998</v>
      </c>
      <c r="M148" s="4">
        <v>1010650.741079996</v>
      </c>
      <c r="N148" s="4">
        <v>1147782.218639998</v>
      </c>
      <c r="O148" s="4">
        <v>1319018.2407399979</v>
      </c>
      <c r="P148" s="4">
        <v>2023165.6698999801</v>
      </c>
      <c r="Q148">
        <v>2537021.8580272212</v>
      </c>
      <c r="R148">
        <v>4</v>
      </c>
      <c r="S148" s="4">
        <v>0</v>
      </c>
      <c r="T148">
        <f t="shared" si="6"/>
        <v>141814.86703041522</v>
      </c>
      <c r="U148">
        <f t="shared" si="7"/>
        <v>-141810.86703041522</v>
      </c>
      <c r="V148">
        <v>1876634.7901268832</v>
      </c>
      <c r="W148">
        <v>3</v>
      </c>
      <c r="X148">
        <v>2180721.3664361262</v>
      </c>
      <c r="Y148">
        <v>2</v>
      </c>
      <c r="Z148">
        <f t="shared" si="8"/>
        <v>9.8235017924592563E-2</v>
      </c>
    </row>
    <row r="149" spans="1:26" x14ac:dyDescent="0.3">
      <c r="A149">
        <v>20220715</v>
      </c>
      <c r="B149" s="5">
        <v>44757</v>
      </c>
      <c r="C149">
        <v>870055.20511729119</v>
      </c>
      <c r="D149">
        <v>1071013.58589998</v>
      </c>
      <c r="E149" s="5">
        <v>44757</v>
      </c>
      <c r="F149" s="4">
        <v>20220715</v>
      </c>
      <c r="G149" s="5"/>
      <c r="H149" s="4">
        <v>1368057.325479998</v>
      </c>
      <c r="I149" s="4">
        <v>1698832.8082799979</v>
      </c>
      <c r="J149" s="4">
        <v>1432734.267379998</v>
      </c>
      <c r="K149">
        <v>1367487.63054</v>
      </c>
      <c r="L149" s="4">
        <v>1042998.234159996</v>
      </c>
      <c r="M149" s="4">
        <v>1024465.310999996</v>
      </c>
      <c r="N149" s="4">
        <v>1164794.3446999979</v>
      </c>
      <c r="O149" s="4">
        <v>1324644.1313799978</v>
      </c>
      <c r="P149" s="4">
        <v>2047633.7077599801</v>
      </c>
      <c r="Q149">
        <v>2591619.4391653137</v>
      </c>
      <c r="R149">
        <v>2</v>
      </c>
      <c r="S149" s="4">
        <v>0</v>
      </c>
      <c r="T149">
        <f t="shared" si="6"/>
        <v>54597.581138092559</v>
      </c>
      <c r="U149">
        <f t="shared" si="7"/>
        <v>-54595.581138092559</v>
      </c>
      <c r="V149">
        <v>1876634.7901268832</v>
      </c>
      <c r="W149">
        <v>0</v>
      </c>
      <c r="X149">
        <v>2227649.5179975773</v>
      </c>
      <c r="Y149">
        <v>2</v>
      </c>
      <c r="Z149">
        <f t="shared" si="8"/>
        <v>2.1519554163925179E-2</v>
      </c>
    </row>
    <row r="150" spans="1:26" x14ac:dyDescent="0.3">
      <c r="A150">
        <v>20220718</v>
      </c>
      <c r="B150" s="5">
        <v>44760</v>
      </c>
      <c r="C150">
        <v>865329.93529829918</v>
      </c>
      <c r="D150">
        <v>1075631.51999998</v>
      </c>
      <c r="E150" s="5">
        <v>44760</v>
      </c>
      <c r="F150" s="4">
        <v>20220718</v>
      </c>
      <c r="G150" s="5"/>
      <c r="H150" s="4">
        <v>1394515.2453199981</v>
      </c>
      <c r="I150" s="4">
        <v>1744631.5098799982</v>
      </c>
      <c r="J150" s="4">
        <v>1474324.912839998</v>
      </c>
      <c r="K150">
        <v>1429889.4336600001</v>
      </c>
      <c r="L150" s="4">
        <v>1046519.7892399959</v>
      </c>
      <c r="M150" s="4">
        <v>1029616.7070999959</v>
      </c>
      <c r="N150" s="4">
        <v>1160436.2645199981</v>
      </c>
      <c r="O150" s="4">
        <v>1358853.3205999979</v>
      </c>
      <c r="P150" s="4">
        <v>2087719.96415998</v>
      </c>
      <c r="Q150">
        <v>2759905.0583912162</v>
      </c>
      <c r="R150">
        <v>2</v>
      </c>
      <c r="S150" s="4">
        <v>0</v>
      </c>
      <c r="T150">
        <f t="shared" si="6"/>
        <v>168285.61922590248</v>
      </c>
      <c r="U150">
        <f t="shared" si="7"/>
        <v>-168283.61922590248</v>
      </c>
      <c r="V150">
        <v>2060881.1546476989</v>
      </c>
      <c r="W150">
        <v>1</v>
      </c>
      <c r="X150">
        <v>2372298.3828852535</v>
      </c>
      <c r="Y150">
        <v>2</v>
      </c>
      <c r="Z150">
        <f t="shared" si="8"/>
        <v>6.4933403445664256E-2</v>
      </c>
    </row>
    <row r="151" spans="1:26" x14ac:dyDescent="0.3">
      <c r="A151">
        <v>20220719</v>
      </c>
      <c r="B151" s="5">
        <v>44761</v>
      </c>
      <c r="C151">
        <v>868247.82784012496</v>
      </c>
      <c r="D151">
        <v>1083767.2545999801</v>
      </c>
      <c r="E151" s="5">
        <v>44761</v>
      </c>
      <c r="F151" s="4">
        <v>20220719</v>
      </c>
      <c r="G151" s="5"/>
      <c r="H151" s="4">
        <v>1399733.2000399982</v>
      </c>
      <c r="I151" s="4">
        <v>1733300.5183999981</v>
      </c>
      <c r="J151" s="4">
        <v>1472465.301039998</v>
      </c>
      <c r="K151">
        <v>1462095.4619</v>
      </c>
      <c r="L151" s="4">
        <v>1054475.142179996</v>
      </c>
      <c r="M151" s="4">
        <v>1037581.8300199959</v>
      </c>
      <c r="N151" s="4">
        <v>1167705.6694799981</v>
      </c>
      <c r="O151" s="4">
        <v>1368231.4451399981</v>
      </c>
      <c r="P151" s="4">
        <v>2077784.2787199798</v>
      </c>
      <c r="Q151">
        <v>2676849.6574203963</v>
      </c>
      <c r="R151">
        <v>1</v>
      </c>
      <c r="S151" s="4">
        <v>0</v>
      </c>
      <c r="T151">
        <f t="shared" si="6"/>
        <v>-83055.400970819872</v>
      </c>
      <c r="U151">
        <f t="shared" si="7"/>
        <v>83056.400970819872</v>
      </c>
      <c r="V151">
        <v>2050364.3377632098</v>
      </c>
      <c r="W151">
        <v>2</v>
      </c>
      <c r="X151">
        <v>2360192.3370595439</v>
      </c>
      <c r="Y151">
        <v>2</v>
      </c>
      <c r="Z151">
        <f t="shared" si="8"/>
        <v>-5.1030873321196166E-3</v>
      </c>
    </row>
    <row r="152" spans="1:26" x14ac:dyDescent="0.3">
      <c r="A152">
        <v>20220720</v>
      </c>
      <c r="B152" s="5">
        <v>44762</v>
      </c>
      <c r="C152">
        <v>858557.31383360142</v>
      </c>
      <c r="D152">
        <v>1075977.94089998</v>
      </c>
      <c r="E152" s="5">
        <v>44762</v>
      </c>
      <c r="F152" s="4">
        <v>20220720</v>
      </c>
      <c r="G152" s="5"/>
      <c r="H152" s="4">
        <v>1420255.312819998</v>
      </c>
      <c r="I152" s="4">
        <v>1758725.0376799977</v>
      </c>
      <c r="J152" s="4">
        <v>1429436.958859998</v>
      </c>
      <c r="K152">
        <v>1478498.7575999999</v>
      </c>
      <c r="L152" s="4">
        <v>1046692.736439996</v>
      </c>
      <c r="M152" s="4">
        <v>1029453.576519998</v>
      </c>
      <c r="N152" s="4">
        <v>1157338.703139998</v>
      </c>
      <c r="O152" s="4">
        <v>1390375.774499998</v>
      </c>
      <c r="P152" s="4">
        <v>2066125.4524999999</v>
      </c>
      <c r="Q152">
        <v>2583671.2021277421</v>
      </c>
      <c r="R152">
        <v>1</v>
      </c>
      <c r="S152" s="4">
        <v>0</v>
      </c>
      <c r="T152">
        <f t="shared" si="6"/>
        <v>-93178.455292654224</v>
      </c>
      <c r="U152">
        <f t="shared" si="7"/>
        <v>93179.455292654224</v>
      </c>
      <c r="V152">
        <v>2007778.9844352636</v>
      </c>
      <c r="W152">
        <v>2</v>
      </c>
      <c r="X152">
        <v>2311172.3710543276</v>
      </c>
      <c r="Y152">
        <v>2</v>
      </c>
      <c r="Z152">
        <f t="shared" si="8"/>
        <v>-2.0769479349419504E-2</v>
      </c>
    </row>
    <row r="153" spans="1:26" x14ac:dyDescent="0.3">
      <c r="A153">
        <v>20220721</v>
      </c>
      <c r="B153" s="5">
        <v>44763</v>
      </c>
      <c r="C153">
        <v>858984.87537589052</v>
      </c>
      <c r="D153">
        <v>1064180.8348999801</v>
      </c>
      <c r="E153" s="5">
        <v>44763</v>
      </c>
      <c r="F153" s="4">
        <v>20220721</v>
      </c>
      <c r="G153" s="5"/>
      <c r="H153" s="4">
        <v>1407688.7534599979</v>
      </c>
      <c r="I153" s="4">
        <v>1743560.679739998</v>
      </c>
      <c r="J153" s="4">
        <v>1397870.0535599981</v>
      </c>
      <c r="K153">
        <v>1475299.8209599999</v>
      </c>
      <c r="L153" s="4">
        <v>1034473.150719996</v>
      </c>
      <c r="M153" s="4">
        <v>1019244.780099996</v>
      </c>
      <c r="N153" s="4">
        <v>1139345.8814199981</v>
      </c>
      <c r="O153" s="4">
        <v>1401803.0247999979</v>
      </c>
      <c r="P153" s="4">
        <v>2076573.3895999801</v>
      </c>
      <c r="Q153">
        <v>2602004.8795743152</v>
      </c>
      <c r="R153">
        <v>1</v>
      </c>
      <c r="S153" s="4">
        <v>0</v>
      </c>
      <c r="T153">
        <f t="shared" si="6"/>
        <v>18333.677446573041</v>
      </c>
      <c r="U153">
        <f t="shared" si="7"/>
        <v>-18332.677446573041</v>
      </c>
      <c r="V153">
        <v>2046587.7719258189</v>
      </c>
      <c r="W153">
        <v>2</v>
      </c>
      <c r="X153">
        <v>2355845.2301034261</v>
      </c>
      <c r="Y153">
        <v>2</v>
      </c>
      <c r="Z153">
        <f t="shared" si="8"/>
        <v>1.9329090122654664E-2</v>
      </c>
    </row>
    <row r="154" spans="1:26" x14ac:dyDescent="0.3">
      <c r="A154">
        <v>20220722</v>
      </c>
      <c r="B154" s="5">
        <v>44764</v>
      </c>
      <c r="C154">
        <v>853784.58094036486</v>
      </c>
      <c r="D154">
        <v>1054764.8171999799</v>
      </c>
      <c r="E154" s="5">
        <v>44764</v>
      </c>
      <c r="F154" s="4">
        <v>20220722</v>
      </c>
      <c r="G154" s="5"/>
      <c r="H154" s="4">
        <v>1399431.0346999981</v>
      </c>
      <c r="I154" s="4">
        <v>1741117.4581999979</v>
      </c>
      <c r="J154" s="4">
        <v>1395772.2106799982</v>
      </c>
      <c r="K154">
        <v>1475477.7405400001</v>
      </c>
      <c r="L154" s="4">
        <v>1025156.7039599961</v>
      </c>
      <c r="M154" s="4">
        <v>1010248.9083399961</v>
      </c>
      <c r="N154" s="4">
        <v>1133264.6690599979</v>
      </c>
      <c r="O154" s="4">
        <v>1395845.6207799981</v>
      </c>
      <c r="P154" s="4">
        <v>2123545.17667998</v>
      </c>
      <c r="Q154">
        <v>2660878.2693281882</v>
      </c>
      <c r="R154">
        <v>4</v>
      </c>
      <c r="S154" s="4">
        <v>0</v>
      </c>
      <c r="T154">
        <f t="shared" si="6"/>
        <v>58873.389753872994</v>
      </c>
      <c r="U154">
        <f t="shared" si="7"/>
        <v>-58869.389753872994</v>
      </c>
      <c r="V154">
        <v>2086711.2178889879</v>
      </c>
      <c r="W154">
        <v>3</v>
      </c>
      <c r="X154">
        <v>2309421.7081215037</v>
      </c>
      <c r="Y154">
        <v>2</v>
      </c>
      <c r="Z154">
        <f t="shared" si="8"/>
        <v>-1.9705675648261648E-2</v>
      </c>
    </row>
    <row r="155" spans="1:26" x14ac:dyDescent="0.3">
      <c r="A155">
        <v>20220725</v>
      </c>
      <c r="B155" s="5">
        <v>44767</v>
      </c>
      <c r="C155">
        <v>860526.06399147003</v>
      </c>
      <c r="D155">
        <v>1071825.7316999801</v>
      </c>
      <c r="E155" s="5">
        <v>44767</v>
      </c>
      <c r="F155" s="4">
        <v>20220725</v>
      </c>
      <c r="G155" s="5"/>
      <c r="H155" s="4">
        <v>1436307.9055999978</v>
      </c>
      <c r="I155" s="4">
        <v>1783993.8675199982</v>
      </c>
      <c r="J155" s="4">
        <v>1413783.105899998</v>
      </c>
      <c r="K155">
        <v>1509552.77342</v>
      </c>
      <c r="L155" s="4">
        <v>1042919.4553599959</v>
      </c>
      <c r="M155" s="4">
        <v>1027974.5458199959</v>
      </c>
      <c r="N155" s="4">
        <v>1163209.180759998</v>
      </c>
      <c r="O155" s="4">
        <v>1432811.143819998</v>
      </c>
      <c r="P155" s="4">
        <v>2172373.9871199997</v>
      </c>
      <c r="Q155">
        <v>2722140.6540997932</v>
      </c>
      <c r="R155">
        <v>4</v>
      </c>
      <c r="S155" s="4">
        <v>0</v>
      </c>
      <c r="T155">
        <f t="shared" si="6"/>
        <v>61262.384771605022</v>
      </c>
      <c r="U155">
        <f t="shared" si="7"/>
        <v>-61258.384771605022</v>
      </c>
      <c r="V155">
        <v>2086947.0912312169</v>
      </c>
      <c r="W155">
        <v>1</v>
      </c>
      <c r="X155">
        <v>2362592.5366833666</v>
      </c>
      <c r="Y155">
        <v>4</v>
      </c>
      <c r="Z155">
        <f t="shared" si="8"/>
        <v>2.3023438454258048E-2</v>
      </c>
    </row>
    <row r="156" spans="1:26" x14ac:dyDescent="0.3">
      <c r="A156">
        <v>20220726</v>
      </c>
      <c r="B156" s="5">
        <v>44768</v>
      </c>
      <c r="C156">
        <v>856268.18102684023</v>
      </c>
      <c r="D156">
        <v>1083609.0855999801</v>
      </c>
      <c r="E156" s="5">
        <v>44768</v>
      </c>
      <c r="F156" s="4">
        <v>20220726</v>
      </c>
      <c r="G156" s="5"/>
      <c r="H156" s="4">
        <v>1460140.985179998</v>
      </c>
      <c r="I156" s="4">
        <v>1822633.237139998</v>
      </c>
      <c r="J156" s="4">
        <v>1462064.7219199981</v>
      </c>
      <c r="K156">
        <v>1550224.5771600001</v>
      </c>
      <c r="L156" s="4">
        <v>1054545.0548599961</v>
      </c>
      <c r="M156" s="4">
        <v>1039766.044519996</v>
      </c>
      <c r="N156" s="4">
        <v>1188521.136079998</v>
      </c>
      <c r="O156" s="4">
        <v>1473839.469979998</v>
      </c>
      <c r="P156" s="4">
        <v>2232244.6993199801</v>
      </c>
      <c r="Q156">
        <v>2797213.2808448728</v>
      </c>
      <c r="R156">
        <v>4</v>
      </c>
      <c r="S156" s="4">
        <v>0</v>
      </c>
      <c r="T156">
        <f t="shared" si="6"/>
        <v>75072.626745079644</v>
      </c>
      <c r="U156">
        <f t="shared" si="7"/>
        <v>-75068.626745079644</v>
      </c>
      <c r="V156">
        <v>2065040.1909711061</v>
      </c>
      <c r="W156">
        <v>1</v>
      </c>
      <c r="X156">
        <v>2427748.8075278006</v>
      </c>
      <c r="Y156">
        <v>4</v>
      </c>
      <c r="Z156">
        <f t="shared" si="8"/>
        <v>2.7578293689144134E-2</v>
      </c>
    </row>
    <row r="157" spans="1:26" x14ac:dyDescent="0.3">
      <c r="A157">
        <v>20220727</v>
      </c>
      <c r="B157" s="5">
        <v>44769</v>
      </c>
      <c r="C157">
        <v>856383.77723127883</v>
      </c>
      <c r="D157">
        <v>1079207.2539999799</v>
      </c>
      <c r="E157" s="5">
        <v>44769</v>
      </c>
      <c r="F157" s="4">
        <v>20220727</v>
      </c>
      <c r="G157" s="5"/>
      <c r="H157" s="4">
        <v>1501373.4761799979</v>
      </c>
      <c r="I157" s="4">
        <v>1836497.8959199979</v>
      </c>
      <c r="J157" s="4">
        <v>1459009.1835799981</v>
      </c>
      <c r="K157">
        <v>1588091.3458799999</v>
      </c>
      <c r="L157" s="4">
        <v>1049547.980379998</v>
      </c>
      <c r="M157" s="4">
        <v>1036454.5559199961</v>
      </c>
      <c r="N157" s="4">
        <v>1187440.3216399981</v>
      </c>
      <c r="O157" s="4">
        <v>1520699.0185799981</v>
      </c>
      <c r="P157" s="4">
        <v>2287810.76516</v>
      </c>
      <c r="Q157">
        <v>3072506.8156395485</v>
      </c>
      <c r="R157">
        <v>1</v>
      </c>
      <c r="S157" s="4">
        <v>0</v>
      </c>
      <c r="T157">
        <f t="shared" si="6"/>
        <v>275293.53479467565</v>
      </c>
      <c r="U157">
        <f t="shared" si="7"/>
        <v>-275292.53479467565</v>
      </c>
      <c r="V157">
        <v>2268275.280607678</v>
      </c>
      <c r="W157">
        <v>1</v>
      </c>
      <c r="X157">
        <v>2488198.8664926011</v>
      </c>
      <c r="Y157">
        <v>4</v>
      </c>
      <c r="Z157">
        <f t="shared" si="8"/>
        <v>2.489963491171783E-2</v>
      </c>
    </row>
    <row r="158" spans="1:26" x14ac:dyDescent="0.3">
      <c r="A158">
        <v>20220728</v>
      </c>
      <c r="B158" s="5">
        <v>44770</v>
      </c>
      <c r="C158">
        <v>845107.77203647455</v>
      </c>
      <c r="D158">
        <v>1067062.1750999801</v>
      </c>
      <c r="E158" s="5">
        <v>44770</v>
      </c>
      <c r="F158" s="4">
        <v>20220728</v>
      </c>
      <c r="G158" s="5"/>
      <c r="H158" s="4">
        <v>1543936.8520399979</v>
      </c>
      <c r="I158" s="4">
        <v>1839153.5810599979</v>
      </c>
      <c r="J158" s="4">
        <v>1405771.6054199999</v>
      </c>
      <c r="K158">
        <v>1568716.9371400001</v>
      </c>
      <c r="L158" s="4">
        <v>1030246.9639599981</v>
      </c>
      <c r="M158" s="4">
        <v>1017632.9417399981</v>
      </c>
      <c r="N158" s="4">
        <v>1158562.1941999979</v>
      </c>
      <c r="O158" s="4">
        <v>1497991.833919998</v>
      </c>
      <c r="P158" s="4">
        <v>2200172.3970400002</v>
      </c>
      <c r="Q158">
        <v>2999106.3745895056</v>
      </c>
      <c r="R158">
        <v>1</v>
      </c>
      <c r="S158" s="4">
        <v>0</v>
      </c>
      <c r="T158">
        <f t="shared" si="6"/>
        <v>-73400.441050042864</v>
      </c>
      <c r="U158">
        <f t="shared" si="7"/>
        <v>73401.441050042864</v>
      </c>
      <c r="V158">
        <v>2187522.4295711857</v>
      </c>
      <c r="W158">
        <v>3</v>
      </c>
      <c r="X158">
        <v>2392770.4880485879</v>
      </c>
      <c r="Y158">
        <v>4</v>
      </c>
      <c r="Z158">
        <f t="shared" si="8"/>
        <v>-3.8352392057203338E-2</v>
      </c>
    </row>
    <row r="159" spans="1:26" x14ac:dyDescent="0.3">
      <c r="A159">
        <v>20220729</v>
      </c>
      <c r="B159" s="5">
        <v>44771</v>
      </c>
      <c r="C159">
        <v>848859.20543654449</v>
      </c>
      <c r="D159">
        <v>1074810.4166999799</v>
      </c>
      <c r="E159" s="5">
        <v>44771</v>
      </c>
      <c r="F159" s="4">
        <v>20220729</v>
      </c>
      <c r="G159" s="5"/>
      <c r="H159" s="4">
        <v>1598408.6544799979</v>
      </c>
      <c r="I159" s="4">
        <v>1904007.0023399978</v>
      </c>
      <c r="J159" s="4">
        <v>1469098.8660399981</v>
      </c>
      <c r="K159">
        <v>1630329.3621999999</v>
      </c>
      <c r="L159" s="4">
        <v>1039668.497899998</v>
      </c>
      <c r="M159" s="4">
        <v>1027298.229079996</v>
      </c>
      <c r="N159" s="4">
        <v>1176067.2255599999</v>
      </c>
      <c r="O159" s="4">
        <v>1564408.3432599981</v>
      </c>
      <c r="P159" s="4">
        <v>2286480.7445399999</v>
      </c>
      <c r="Q159">
        <v>2915486.5583838075</v>
      </c>
      <c r="R159">
        <v>1</v>
      </c>
      <c r="S159" s="4">
        <v>0</v>
      </c>
      <c r="T159">
        <f t="shared" si="6"/>
        <v>-83619.816205698065</v>
      </c>
      <c r="U159">
        <f t="shared" si="7"/>
        <v>83620.816205698065</v>
      </c>
      <c r="V159">
        <v>2187522.4295711857</v>
      </c>
      <c r="W159">
        <v>0</v>
      </c>
      <c r="X159">
        <v>2486813.3513463042</v>
      </c>
      <c r="Y159">
        <v>4</v>
      </c>
      <c r="Z159">
        <f t="shared" si="8"/>
        <v>3.9302918423409862E-2</v>
      </c>
    </row>
    <row r="160" spans="1:26" x14ac:dyDescent="0.3">
      <c r="A160">
        <v>20220801</v>
      </c>
      <c r="B160" s="5">
        <v>44774</v>
      </c>
      <c r="C160">
        <v>832297.96233847761</v>
      </c>
      <c r="D160">
        <v>1062588.8207999801</v>
      </c>
      <c r="E160" s="5">
        <v>44774</v>
      </c>
      <c r="F160" s="4">
        <v>20220801</v>
      </c>
      <c r="G160" s="5"/>
      <c r="H160" s="4">
        <v>1594182.580619998</v>
      </c>
      <c r="I160" s="4">
        <v>1897393.2164799981</v>
      </c>
      <c r="J160" s="4">
        <v>1477867.252239998</v>
      </c>
      <c r="K160">
        <v>1630700.5428200001</v>
      </c>
      <c r="L160" s="4">
        <v>1031978.9361599979</v>
      </c>
      <c r="M160" s="4">
        <v>1022800.065279996</v>
      </c>
      <c r="N160" s="4">
        <v>1172984.2804199981</v>
      </c>
      <c r="O160" s="4">
        <v>1555289.8340199981</v>
      </c>
      <c r="P160" s="4">
        <v>2260176.4182599997</v>
      </c>
      <c r="Q160">
        <v>2946223.3364002774</v>
      </c>
      <c r="R160">
        <v>2</v>
      </c>
      <c r="S160" s="4">
        <v>0</v>
      </c>
      <c r="T160">
        <f t="shared" si="6"/>
        <v>30736.778016469907</v>
      </c>
      <c r="U160">
        <f t="shared" si="7"/>
        <v>-30734.778016469907</v>
      </c>
      <c r="V160">
        <v>2210584.4856778011</v>
      </c>
      <c r="W160">
        <v>2</v>
      </c>
      <c r="X160">
        <v>2458202.0590415113</v>
      </c>
      <c r="Y160">
        <v>4</v>
      </c>
      <c r="Z160">
        <f t="shared" si="8"/>
        <v>-1.150520294951103E-2</v>
      </c>
    </row>
    <row r="161" spans="1:26" x14ac:dyDescent="0.3">
      <c r="A161">
        <v>20220802</v>
      </c>
      <c r="B161" s="5">
        <v>44775</v>
      </c>
      <c r="C161">
        <v>824168.90814031765</v>
      </c>
      <c r="D161">
        <v>1055522.3119999799</v>
      </c>
      <c r="E161" s="5">
        <v>44775</v>
      </c>
      <c r="F161" s="4">
        <v>20220802</v>
      </c>
      <c r="G161" s="5"/>
      <c r="H161" s="4">
        <v>1598749.0689799979</v>
      </c>
      <c r="I161" s="4">
        <v>1897382.9115999981</v>
      </c>
      <c r="J161" s="4">
        <v>1461823.7361399981</v>
      </c>
      <c r="K161">
        <v>1626040.7274800001</v>
      </c>
      <c r="L161" s="4">
        <v>1025628.695359998</v>
      </c>
      <c r="M161" s="4">
        <v>1011814.559679996</v>
      </c>
      <c r="N161" s="4">
        <v>1165086.1544199982</v>
      </c>
      <c r="O161" s="4">
        <v>1552317.2977599981</v>
      </c>
      <c r="P161" s="4">
        <v>2268093.5989000001</v>
      </c>
      <c r="Q161">
        <v>2956555.5416731536</v>
      </c>
      <c r="R161">
        <v>4</v>
      </c>
      <c r="S161" s="4">
        <v>0</v>
      </c>
      <c r="T161">
        <f t="shared" si="6"/>
        <v>10332.205272876192</v>
      </c>
      <c r="U161">
        <f t="shared" si="7"/>
        <v>-10328.205272876192</v>
      </c>
      <c r="V161">
        <v>2218336.8908533924</v>
      </c>
      <c r="W161">
        <v>4</v>
      </c>
      <c r="X161">
        <v>2466822.7991422201</v>
      </c>
      <c r="Y161">
        <v>4</v>
      </c>
      <c r="Z161">
        <f t="shared" si="8"/>
        <v>3.5069290048801529E-3</v>
      </c>
    </row>
    <row r="162" spans="1:26" x14ac:dyDescent="0.3">
      <c r="A162">
        <v>20220803</v>
      </c>
      <c r="B162" s="5">
        <v>44776</v>
      </c>
      <c r="C162">
        <v>831159.50881916378</v>
      </c>
      <c r="D162">
        <v>1057580.13429998</v>
      </c>
      <c r="E162" s="5">
        <v>44776</v>
      </c>
      <c r="F162" s="4">
        <v>20220803</v>
      </c>
      <c r="G162" s="5"/>
      <c r="H162" s="4">
        <v>1643482.7985599979</v>
      </c>
      <c r="I162" s="4">
        <v>1886746.8886599981</v>
      </c>
      <c r="J162" s="4">
        <v>1466236.5998999979</v>
      </c>
      <c r="K162">
        <v>1682326.7819200002</v>
      </c>
      <c r="L162" s="4">
        <v>1025312.980239998</v>
      </c>
      <c r="M162" s="4">
        <v>1015944.106099996</v>
      </c>
      <c r="N162" s="4">
        <v>1172087.686899998</v>
      </c>
      <c r="O162" s="4">
        <v>1580320.4919199981</v>
      </c>
      <c r="P162" s="4">
        <v>2311473.32296</v>
      </c>
      <c r="Q162">
        <v>3013200.6495914613</v>
      </c>
      <c r="R162">
        <v>4</v>
      </c>
      <c r="S162" s="4">
        <v>0</v>
      </c>
      <c r="T162">
        <f t="shared" si="6"/>
        <v>56645.107918307651</v>
      </c>
      <c r="U162">
        <f t="shared" si="7"/>
        <v>-56641.107918307651</v>
      </c>
      <c r="V162">
        <v>2289656.9144000509</v>
      </c>
      <c r="W162">
        <v>1</v>
      </c>
      <c r="X162">
        <v>2514013.9089909028</v>
      </c>
      <c r="Y162">
        <v>4</v>
      </c>
      <c r="Z162">
        <f t="shared" si="8"/>
        <v>1.9130320128828215E-2</v>
      </c>
    </row>
    <row r="163" spans="1:26" x14ac:dyDescent="0.3">
      <c r="A163">
        <v>20220804</v>
      </c>
      <c r="B163" s="5">
        <v>44777</v>
      </c>
      <c r="C163">
        <v>842367.69479559024</v>
      </c>
      <c r="D163">
        <v>1064487.42199998</v>
      </c>
      <c r="E163" s="5">
        <v>44777</v>
      </c>
      <c r="F163" s="4">
        <v>20220804</v>
      </c>
      <c r="G163" s="5"/>
      <c r="H163" s="4">
        <v>1677705.749339998</v>
      </c>
      <c r="I163" s="4">
        <v>1929096.1390599981</v>
      </c>
      <c r="J163" s="4">
        <v>1445468.6888199979</v>
      </c>
      <c r="K163">
        <v>1718908.93768</v>
      </c>
      <c r="L163" s="4">
        <v>1030795.9924599979</v>
      </c>
      <c r="M163" s="4">
        <v>1023708.551659996</v>
      </c>
      <c r="N163" s="4">
        <v>1182178.669139998</v>
      </c>
      <c r="O163" s="4">
        <v>1630139.8981199979</v>
      </c>
      <c r="P163" s="4">
        <v>2309699.7282000002</v>
      </c>
      <c r="Q163">
        <v>2987108.8597081355</v>
      </c>
      <c r="R163">
        <v>2</v>
      </c>
      <c r="S163" s="4">
        <v>0</v>
      </c>
      <c r="T163">
        <f t="shared" si="6"/>
        <v>-26091.789883325808</v>
      </c>
      <c r="U163">
        <f t="shared" si="7"/>
        <v>26093.789883325808</v>
      </c>
      <c r="V163">
        <v>2287834.7293539867</v>
      </c>
      <c r="W163">
        <v>4</v>
      </c>
      <c r="X163">
        <v>2492248.1965022306</v>
      </c>
      <c r="Y163">
        <v>2</v>
      </c>
      <c r="Z163">
        <f t="shared" si="8"/>
        <v>-8.6577534081379633E-3</v>
      </c>
    </row>
    <row r="164" spans="1:26" x14ac:dyDescent="0.3">
      <c r="A164">
        <v>20220805</v>
      </c>
      <c r="B164" s="5">
        <v>44778</v>
      </c>
      <c r="C164">
        <v>840563.34319333802</v>
      </c>
      <c r="D164">
        <v>1077537.74259998</v>
      </c>
      <c r="E164" s="5">
        <v>44778</v>
      </c>
      <c r="F164" s="4">
        <v>20220805</v>
      </c>
      <c r="G164" s="5"/>
      <c r="H164" s="4">
        <v>1712494.1756599981</v>
      </c>
      <c r="I164" s="4">
        <v>1988740.6378599978</v>
      </c>
      <c r="J164" s="4">
        <v>1452735.4443999981</v>
      </c>
      <c r="K164">
        <v>1762431.4847199998</v>
      </c>
      <c r="L164" s="4">
        <v>1041222.805879998</v>
      </c>
      <c r="M164" s="4">
        <v>1037446.002259996</v>
      </c>
      <c r="N164" s="4">
        <v>1192185.006279998</v>
      </c>
      <c r="O164" s="4">
        <v>1637768.141099998</v>
      </c>
      <c r="P164" s="4">
        <v>2351911.7013400001</v>
      </c>
      <c r="Q164">
        <v>3009860.8888934115</v>
      </c>
      <c r="R164">
        <v>1</v>
      </c>
      <c r="S164" s="4">
        <v>0</v>
      </c>
      <c r="T164">
        <f t="shared" si="6"/>
        <v>22752.029185276013</v>
      </c>
      <c r="U164">
        <f t="shared" si="7"/>
        <v>-22751.029185276013</v>
      </c>
      <c r="V164">
        <v>2287834.7293539867</v>
      </c>
      <c r="W164">
        <v>0</v>
      </c>
      <c r="X164">
        <v>2511230.9151975475</v>
      </c>
      <c r="Y164">
        <v>2</v>
      </c>
      <c r="Z164">
        <f t="shared" si="8"/>
        <v>7.6167047575592213E-3</v>
      </c>
    </row>
    <row r="165" spans="1:26" x14ac:dyDescent="0.3">
      <c r="A165">
        <v>20220808</v>
      </c>
      <c r="B165" s="5">
        <v>44781</v>
      </c>
      <c r="C165">
        <v>842215.05016271304</v>
      </c>
      <c r="D165">
        <v>1082170.9092999799</v>
      </c>
      <c r="E165" s="5">
        <v>44781</v>
      </c>
      <c r="F165" s="4">
        <v>20220808</v>
      </c>
      <c r="G165" s="5"/>
      <c r="H165" s="4">
        <v>1733704.758879998</v>
      </c>
      <c r="I165" s="4">
        <v>2013743.05583998</v>
      </c>
      <c r="J165" s="4">
        <v>1476633.0044599981</v>
      </c>
      <c r="K165">
        <v>1763368.6396400002</v>
      </c>
      <c r="L165" s="4">
        <v>1047993.643719998</v>
      </c>
      <c r="M165" s="4">
        <v>1040952.775199996</v>
      </c>
      <c r="N165" s="4">
        <v>1197229.2542399981</v>
      </c>
      <c r="O165" s="4">
        <v>1643859.153139998</v>
      </c>
      <c r="P165" s="4">
        <v>2379010.2363999998</v>
      </c>
      <c r="Q165">
        <v>3041261.3497087448</v>
      </c>
      <c r="R165">
        <v>1</v>
      </c>
      <c r="S165" s="4">
        <v>0</v>
      </c>
      <c r="T165">
        <f t="shared" si="6"/>
        <v>31400.460815333296</v>
      </c>
      <c r="U165">
        <f t="shared" si="7"/>
        <v>-31399.460815333296</v>
      </c>
      <c r="V165">
        <v>2307900.3023187025</v>
      </c>
      <c r="W165">
        <v>3</v>
      </c>
      <c r="X165">
        <v>2555286.5485654362</v>
      </c>
      <c r="Y165">
        <v>2</v>
      </c>
      <c r="Z165">
        <f t="shared" si="8"/>
        <v>1.7543441784374086E-2</v>
      </c>
    </row>
    <row r="166" spans="1:26" x14ac:dyDescent="0.3">
      <c r="A166">
        <v>20220809</v>
      </c>
      <c r="B166" s="5">
        <v>44782</v>
      </c>
      <c r="C166">
        <v>832767.92394503788</v>
      </c>
      <c r="D166">
        <v>1079134.6581999799</v>
      </c>
      <c r="E166" s="5">
        <v>44782</v>
      </c>
      <c r="F166" s="4">
        <v>20220809</v>
      </c>
      <c r="G166" s="5"/>
      <c r="H166" s="4">
        <v>1749345.533219998</v>
      </c>
      <c r="I166" s="4">
        <v>2031910.0214999798</v>
      </c>
      <c r="J166" s="4">
        <v>1462349.9939399981</v>
      </c>
      <c r="K166">
        <v>1738471.2975400002</v>
      </c>
      <c r="L166" s="4">
        <v>1045290.546579998</v>
      </c>
      <c r="M166" s="4">
        <v>1041466.7912199959</v>
      </c>
      <c r="N166" s="4">
        <v>1196057.7293199981</v>
      </c>
      <c r="O166" s="4">
        <v>1627055.906359998</v>
      </c>
      <c r="P166" s="4">
        <v>2321517.50189998</v>
      </c>
      <c r="Q166">
        <v>2967725.0427289628</v>
      </c>
      <c r="R166">
        <v>4</v>
      </c>
      <c r="S166" s="4">
        <v>0</v>
      </c>
      <c r="T166">
        <f t="shared" si="6"/>
        <v>-73536.306979781948</v>
      </c>
      <c r="U166">
        <f t="shared" si="7"/>
        <v>73540.306979781948</v>
      </c>
      <c r="V166">
        <v>2240259.9278135668</v>
      </c>
      <c r="W166">
        <v>1</v>
      </c>
      <c r="X166">
        <v>2486416.2908110055</v>
      </c>
      <c r="Y166">
        <v>2</v>
      </c>
      <c r="Z166">
        <f t="shared" si="8"/>
        <v>-2.6952068367085916E-2</v>
      </c>
    </row>
    <row r="167" spans="1:26" x14ac:dyDescent="0.3">
      <c r="A167">
        <v>20220810</v>
      </c>
      <c r="B167" s="5">
        <v>44783</v>
      </c>
      <c r="C167">
        <v>849736.40316334204</v>
      </c>
      <c r="D167">
        <v>1088860.46299998</v>
      </c>
      <c r="E167" s="5">
        <v>44783</v>
      </c>
      <c r="F167" s="4">
        <v>20220810</v>
      </c>
      <c r="G167" s="5"/>
      <c r="H167" s="4">
        <v>1704255.289979998</v>
      </c>
      <c r="I167" s="4">
        <v>2027464.0429999798</v>
      </c>
      <c r="J167" s="4">
        <v>1470342.063159998</v>
      </c>
      <c r="K167">
        <v>1706941.7616000001</v>
      </c>
      <c r="L167" s="4">
        <v>1052536.592999998</v>
      </c>
      <c r="M167" s="4">
        <v>1050408.762499996</v>
      </c>
      <c r="N167" s="4">
        <v>1210030.1766199979</v>
      </c>
      <c r="O167" s="4">
        <v>1581397.715859998</v>
      </c>
      <c r="P167" s="4">
        <v>2337075.7178799799</v>
      </c>
      <c r="Q167">
        <v>2987628.2923913812</v>
      </c>
      <c r="R167">
        <v>4</v>
      </c>
      <c r="S167" s="4">
        <v>0</v>
      </c>
      <c r="T167">
        <f t="shared" si="6"/>
        <v>19903.249662418384</v>
      </c>
      <c r="U167">
        <f t="shared" si="7"/>
        <v>-19899.249662418384</v>
      </c>
      <c r="V167">
        <v>2128131.0650472404</v>
      </c>
      <c r="W167">
        <v>1</v>
      </c>
      <c r="X167">
        <v>2451367.8659537928</v>
      </c>
      <c r="Y167">
        <v>2</v>
      </c>
      <c r="Z167">
        <f t="shared" si="8"/>
        <v>-1.4095960112045757E-2</v>
      </c>
    </row>
    <row r="168" spans="1:26" x14ac:dyDescent="0.3">
      <c r="A168">
        <v>20220811</v>
      </c>
      <c r="B168" s="5">
        <v>44784</v>
      </c>
      <c r="C168">
        <v>849238.45763108821</v>
      </c>
      <c r="D168">
        <v>1081866.49229998</v>
      </c>
      <c r="E168" s="5">
        <v>44784</v>
      </c>
      <c r="F168" s="4">
        <v>20220811</v>
      </c>
      <c r="G168" s="5"/>
      <c r="H168" s="4">
        <v>1692356.2018599981</v>
      </c>
      <c r="I168" s="4">
        <v>2034293.7227999798</v>
      </c>
      <c r="J168" s="4">
        <v>1444712.425499998</v>
      </c>
      <c r="K168">
        <v>1670780.99016</v>
      </c>
      <c r="L168" s="4">
        <v>1044999.4391999959</v>
      </c>
      <c r="M168" s="4">
        <v>1040143.2549199959</v>
      </c>
      <c r="N168" s="4">
        <v>1206988.4632199979</v>
      </c>
      <c r="O168" s="4">
        <v>1579009.2897199981</v>
      </c>
      <c r="P168" s="4">
        <v>2330178.39811998</v>
      </c>
      <c r="Q168">
        <v>2978800.787076632</v>
      </c>
      <c r="R168">
        <v>4</v>
      </c>
      <c r="S168" s="4">
        <v>0</v>
      </c>
      <c r="T168">
        <f t="shared" si="6"/>
        <v>-8827.5053147491999</v>
      </c>
      <c r="U168">
        <f t="shared" si="7"/>
        <v>8831.5053147491999</v>
      </c>
      <c r="V168">
        <v>2128131.0650472404</v>
      </c>
      <c r="W168">
        <v>0</v>
      </c>
      <c r="X168">
        <v>2436713.4215838527</v>
      </c>
      <c r="Y168">
        <v>2</v>
      </c>
      <c r="Z168">
        <f t="shared" si="8"/>
        <v>-5.9780682342583649E-3</v>
      </c>
    </row>
    <row r="169" spans="1:26" x14ac:dyDescent="0.3">
      <c r="A169">
        <v>20220812</v>
      </c>
      <c r="B169" s="5">
        <v>44785</v>
      </c>
      <c r="C169">
        <v>848115.76439010003</v>
      </c>
      <c r="D169">
        <v>1079810.60289998</v>
      </c>
      <c r="E169" s="5">
        <v>44785</v>
      </c>
      <c r="F169" s="4">
        <v>20220812</v>
      </c>
      <c r="G169" s="5"/>
      <c r="H169" s="4">
        <v>1690074.924859998</v>
      </c>
      <c r="I169" s="4">
        <v>2050741.7174199801</v>
      </c>
      <c r="J169" s="4">
        <v>1490455.930139998</v>
      </c>
      <c r="K169">
        <v>1670997.0609599999</v>
      </c>
      <c r="L169" s="4">
        <v>1043360.938879996</v>
      </c>
      <c r="M169" s="4">
        <v>1037595.087339998</v>
      </c>
      <c r="N169" s="4">
        <v>1202474.5563799979</v>
      </c>
      <c r="O169" s="4">
        <v>1576229.7419599979</v>
      </c>
      <c r="P169" s="4">
        <v>2319300.3235399802</v>
      </c>
      <c r="Q169">
        <v>2928125.3199352114</v>
      </c>
      <c r="R169">
        <v>1</v>
      </c>
      <c r="S169" s="4">
        <v>0</v>
      </c>
      <c r="T169">
        <f t="shared" si="6"/>
        <v>-50675.46714142058</v>
      </c>
      <c r="U169">
        <f t="shared" si="7"/>
        <v>50676.46714142058</v>
      </c>
      <c r="V169">
        <v>2128131.0650472404</v>
      </c>
      <c r="W169">
        <v>0</v>
      </c>
      <c r="X169">
        <v>2436710.0518305525</v>
      </c>
      <c r="Y169">
        <v>2</v>
      </c>
      <c r="Z169">
        <f t="shared" si="8"/>
        <v>-1.3829091555715236E-6</v>
      </c>
    </row>
    <row r="170" spans="1:26" x14ac:dyDescent="0.3">
      <c r="A170">
        <v>20220815</v>
      </c>
      <c r="B170" s="5">
        <v>44788</v>
      </c>
      <c r="C170">
        <v>846512.82559540274</v>
      </c>
      <c r="D170">
        <v>1078983.8740999801</v>
      </c>
      <c r="E170" s="5">
        <v>44788</v>
      </c>
      <c r="F170" s="4">
        <v>20220815</v>
      </c>
      <c r="G170" s="5"/>
      <c r="H170" s="4">
        <v>1680337.185339998</v>
      </c>
      <c r="I170" s="4">
        <v>2087828.5402199801</v>
      </c>
      <c r="J170" s="4">
        <v>1546395.2755599979</v>
      </c>
      <c r="K170">
        <v>1664146.48808</v>
      </c>
      <c r="L170" s="4">
        <v>1042564.069479996</v>
      </c>
      <c r="M170" s="4">
        <v>1032933.700859998</v>
      </c>
      <c r="N170" s="4">
        <v>1199087.3664599978</v>
      </c>
      <c r="O170" s="4">
        <v>1524463.2905999981</v>
      </c>
      <c r="P170" s="4">
        <v>2375210.9120199801</v>
      </c>
      <c r="Q170">
        <v>2854818.9413129613</v>
      </c>
      <c r="R170">
        <v>1</v>
      </c>
      <c r="S170" s="4">
        <v>0</v>
      </c>
      <c r="T170">
        <f t="shared" si="6"/>
        <v>-73306.378622250166</v>
      </c>
      <c r="U170">
        <f t="shared" si="7"/>
        <v>73307.378622250166</v>
      </c>
      <c r="V170">
        <v>2128131.0650472404</v>
      </c>
      <c r="W170">
        <v>0</v>
      </c>
      <c r="X170">
        <v>2428971.8007910755</v>
      </c>
      <c r="Y170">
        <v>2</v>
      </c>
      <c r="Z170">
        <f t="shared" si="8"/>
        <v>-3.1756962768975266E-3</v>
      </c>
    </row>
    <row r="171" spans="1:26" x14ac:dyDescent="0.3">
      <c r="A171">
        <v>20220816</v>
      </c>
      <c r="B171" s="5">
        <v>44789</v>
      </c>
      <c r="C171">
        <v>854426.02748906857</v>
      </c>
      <c r="D171">
        <v>1080819.2634999801</v>
      </c>
      <c r="E171" s="5">
        <v>44789</v>
      </c>
      <c r="F171" s="4">
        <v>20220816</v>
      </c>
      <c r="G171" s="5"/>
      <c r="H171" s="4">
        <v>1687244.1858399981</v>
      </c>
      <c r="I171" s="4">
        <v>2088435.5494999799</v>
      </c>
      <c r="J171" s="4">
        <v>1564701.837099998</v>
      </c>
      <c r="K171">
        <v>1685508.4527399999</v>
      </c>
      <c r="L171" s="4">
        <v>1042842.0300599961</v>
      </c>
      <c r="M171" s="4">
        <v>1032790.589599998</v>
      </c>
      <c r="N171" s="4">
        <v>1202153.9135799981</v>
      </c>
      <c r="O171" s="4">
        <v>1535045.7786399978</v>
      </c>
      <c r="P171" s="4">
        <v>2421715.2240999797</v>
      </c>
      <c r="Q171">
        <v>2854818.9413129613</v>
      </c>
      <c r="R171">
        <v>0</v>
      </c>
      <c r="S171" s="4">
        <v>0</v>
      </c>
      <c r="T171">
        <f t="shared" si="6"/>
        <v>0</v>
      </c>
      <c r="U171">
        <f t="shared" si="7"/>
        <v>0</v>
      </c>
      <c r="V171">
        <v>2175663.7961829044</v>
      </c>
      <c r="W171">
        <v>3</v>
      </c>
      <c r="X171">
        <v>2434654.7277171821</v>
      </c>
      <c r="Y171">
        <v>1</v>
      </c>
      <c r="Z171">
        <f t="shared" si="8"/>
        <v>2.3396430227209087E-3</v>
      </c>
    </row>
    <row r="172" spans="1:26" x14ac:dyDescent="0.3">
      <c r="A172">
        <v>20220817</v>
      </c>
      <c r="B172" s="5">
        <v>44790</v>
      </c>
      <c r="C172">
        <v>846943.81876634678</v>
      </c>
      <c r="D172">
        <v>1074788.9446999801</v>
      </c>
      <c r="E172" s="5">
        <v>44790</v>
      </c>
      <c r="F172" s="4">
        <v>20220817</v>
      </c>
      <c r="G172" s="5"/>
      <c r="H172" s="4">
        <v>1648601.9497199981</v>
      </c>
      <c r="I172" s="4">
        <v>2040624.0033399803</v>
      </c>
      <c r="J172" s="4">
        <v>1520428.987659998</v>
      </c>
      <c r="K172">
        <v>1737311.4393800001</v>
      </c>
      <c r="L172" s="4">
        <v>1035196.352339996</v>
      </c>
      <c r="M172" s="4">
        <v>1025145.4624399981</v>
      </c>
      <c r="N172" s="4">
        <v>1190636.2271799981</v>
      </c>
      <c r="O172" s="4">
        <v>1559178.266099998</v>
      </c>
      <c r="P172" s="4">
        <v>2459831.7788599799</v>
      </c>
      <c r="Q172">
        <v>2899782.1006974787</v>
      </c>
      <c r="R172">
        <v>4</v>
      </c>
      <c r="S172" s="4">
        <v>0</v>
      </c>
      <c r="T172">
        <f t="shared" si="6"/>
        <v>44963.159384517465</v>
      </c>
      <c r="U172">
        <f t="shared" si="7"/>
        <v>-44959.159384517465</v>
      </c>
      <c r="V172">
        <v>2175663.7961829044</v>
      </c>
      <c r="W172">
        <v>0</v>
      </c>
      <c r="X172">
        <v>2433145.440027725</v>
      </c>
      <c r="Y172">
        <v>1</v>
      </c>
      <c r="Z172">
        <f t="shared" si="8"/>
        <v>-6.1991857501385544E-4</v>
      </c>
    </row>
    <row r="173" spans="1:26" x14ac:dyDescent="0.3">
      <c r="A173">
        <v>20220818</v>
      </c>
      <c r="B173" s="5">
        <v>44791</v>
      </c>
      <c r="C173">
        <v>841049.08978773304</v>
      </c>
      <c r="D173">
        <v>1078724.76809998</v>
      </c>
      <c r="E173" s="5">
        <v>44791</v>
      </c>
      <c r="F173" s="4">
        <v>20220818</v>
      </c>
      <c r="G173" s="5"/>
      <c r="H173" s="4">
        <v>1640269.3426999981</v>
      </c>
      <c r="I173" s="4">
        <v>2043871.6217999801</v>
      </c>
      <c r="J173" s="4">
        <v>1552736.7173399979</v>
      </c>
      <c r="K173">
        <v>1742599.8308400002</v>
      </c>
      <c r="L173" s="4">
        <v>1034261.916959996</v>
      </c>
      <c r="M173" s="4">
        <v>1027993.989499998</v>
      </c>
      <c r="N173" s="4">
        <v>1189872.9556399998</v>
      </c>
      <c r="O173" s="4">
        <v>1513224.2610599981</v>
      </c>
      <c r="P173" s="4">
        <v>2470028.9894999797</v>
      </c>
      <c r="Q173">
        <v>2911803.7822207133</v>
      </c>
      <c r="R173">
        <v>4</v>
      </c>
      <c r="S173" s="4">
        <v>0</v>
      </c>
      <c r="T173">
        <f t="shared" si="6"/>
        <v>12021.681523234583</v>
      </c>
      <c r="U173">
        <f t="shared" si="7"/>
        <v>-12017.681523234583</v>
      </c>
      <c r="V173">
        <v>2175663.7961829044</v>
      </c>
      <c r="W173">
        <v>0</v>
      </c>
      <c r="X173">
        <v>2364329.4616349502</v>
      </c>
      <c r="Y173">
        <v>1</v>
      </c>
      <c r="Z173">
        <f t="shared" si="8"/>
        <v>-2.8282722956335306E-2</v>
      </c>
    </row>
    <row r="174" spans="1:26" x14ac:dyDescent="0.3">
      <c r="A174">
        <v>20220819</v>
      </c>
      <c r="B174" s="5">
        <v>44792</v>
      </c>
      <c r="C174">
        <v>847179.4966031959</v>
      </c>
      <c r="D174">
        <v>1081669.3190999799</v>
      </c>
      <c r="E174" s="5">
        <v>44792</v>
      </c>
      <c r="F174" s="4">
        <v>20220819</v>
      </c>
      <c r="G174" s="5"/>
      <c r="H174" s="4">
        <v>1642496.2449599979</v>
      </c>
      <c r="I174" s="4">
        <v>2042597.6950199802</v>
      </c>
      <c r="J174" s="4">
        <v>1537895.6934599981</v>
      </c>
      <c r="K174">
        <v>1779209.6567000002</v>
      </c>
      <c r="L174" s="4">
        <v>1039497.587119996</v>
      </c>
      <c r="M174" s="4">
        <v>1036700.2047399979</v>
      </c>
      <c r="N174" s="4">
        <v>1196123.0441999999</v>
      </c>
      <c r="O174" s="4">
        <v>1557646.635739998</v>
      </c>
      <c r="P174" s="4">
        <v>2479898.7928599799</v>
      </c>
      <c r="Q174">
        <v>2963930.4457305395</v>
      </c>
      <c r="R174">
        <v>2</v>
      </c>
      <c r="S174" s="4">
        <v>0</v>
      </c>
      <c r="T174">
        <f t="shared" si="6"/>
        <v>52126.663509826176</v>
      </c>
      <c r="U174">
        <f t="shared" si="7"/>
        <v>-52124.663509826176</v>
      </c>
      <c r="V174">
        <v>2184363.3052886035</v>
      </c>
      <c r="W174">
        <v>4</v>
      </c>
      <c r="X174">
        <v>2400096.5005620164</v>
      </c>
      <c r="Y174">
        <v>1</v>
      </c>
      <c r="Z174">
        <f t="shared" si="8"/>
        <v>1.5127772803005628E-2</v>
      </c>
    </row>
    <row r="175" spans="1:26" x14ac:dyDescent="0.3">
      <c r="A175">
        <v>20220822</v>
      </c>
      <c r="B175" s="5">
        <v>44795</v>
      </c>
      <c r="C175">
        <v>843050.34373675194</v>
      </c>
      <c r="D175">
        <v>1082397.3031999799</v>
      </c>
      <c r="E175" s="5">
        <v>44795</v>
      </c>
      <c r="F175" s="4">
        <v>20220822</v>
      </c>
      <c r="G175" s="5"/>
      <c r="H175" s="4">
        <v>1605493.891679998</v>
      </c>
      <c r="I175" s="4">
        <v>2037235.1636399801</v>
      </c>
      <c r="J175" s="4">
        <v>1530793.144159998</v>
      </c>
      <c r="K175">
        <v>1787644.92826</v>
      </c>
      <c r="L175" s="4">
        <v>1041019.6701599959</v>
      </c>
      <c r="M175" s="4">
        <v>1038747.5033199961</v>
      </c>
      <c r="N175" s="4">
        <v>1193744.2186799999</v>
      </c>
      <c r="O175" s="4">
        <v>1537156.2184399979</v>
      </c>
      <c r="P175" s="4">
        <v>2486052.71593998</v>
      </c>
      <c r="Q175">
        <v>3040986.4809811348</v>
      </c>
      <c r="R175">
        <v>1</v>
      </c>
      <c r="S175" s="4">
        <v>0</v>
      </c>
      <c r="T175">
        <f t="shared" si="6"/>
        <v>77056.035250595305</v>
      </c>
      <c r="U175">
        <f t="shared" si="7"/>
        <v>-77055.035250595305</v>
      </c>
      <c r="V175">
        <v>2189771.4498896184</v>
      </c>
      <c r="W175">
        <v>4</v>
      </c>
      <c r="X175">
        <v>2462493.9186462439</v>
      </c>
      <c r="Y175">
        <v>1</v>
      </c>
      <c r="Z175">
        <f t="shared" si="8"/>
        <v>2.59978788642941E-2</v>
      </c>
    </row>
    <row r="176" spans="1:26" x14ac:dyDescent="0.3">
      <c r="A176">
        <v>20220823</v>
      </c>
      <c r="B176" s="5">
        <v>44796</v>
      </c>
      <c r="C176">
        <v>827099.83123325254</v>
      </c>
      <c r="D176">
        <v>1063940.2982999799</v>
      </c>
      <c r="E176" s="5">
        <v>44796</v>
      </c>
      <c r="F176" s="4">
        <v>20220823</v>
      </c>
      <c r="G176" s="5"/>
      <c r="H176" s="4">
        <v>1561196.741599998</v>
      </c>
      <c r="I176" s="4">
        <v>2014148.9857599798</v>
      </c>
      <c r="J176" s="4">
        <v>1509485.4674999979</v>
      </c>
      <c r="K176">
        <v>1715522.5115200002</v>
      </c>
      <c r="L176" s="4">
        <v>1009164.760279998</v>
      </c>
      <c r="M176" s="4">
        <v>1008384.9967799981</v>
      </c>
      <c r="N176" s="4">
        <v>1159641.3655999999</v>
      </c>
      <c r="O176" s="4">
        <v>1526639.938459998</v>
      </c>
      <c r="P176" s="4">
        <v>2447241.1094799801</v>
      </c>
      <c r="Q176">
        <v>2991860.4658677904</v>
      </c>
      <c r="R176">
        <v>2</v>
      </c>
      <c r="S176" s="4">
        <v>0</v>
      </c>
      <c r="T176">
        <f t="shared" si="6"/>
        <v>-49126.015113344416</v>
      </c>
      <c r="U176">
        <f t="shared" si="7"/>
        <v>49128.015113344416</v>
      </c>
      <c r="V176">
        <v>2127695.1994730448</v>
      </c>
      <c r="W176">
        <v>1</v>
      </c>
      <c r="X176">
        <v>2392686.4291835404</v>
      </c>
      <c r="Y176">
        <v>1</v>
      </c>
      <c r="Z176">
        <f t="shared" si="8"/>
        <v>-2.8348289079666088E-2</v>
      </c>
    </row>
    <row r="177" spans="1:26" x14ac:dyDescent="0.3">
      <c r="A177">
        <v>20220824</v>
      </c>
      <c r="B177" s="5">
        <v>44797</v>
      </c>
      <c r="C177">
        <v>833938.29263788904</v>
      </c>
      <c r="D177">
        <v>1067702.8933999799</v>
      </c>
      <c r="E177" s="5">
        <v>44797</v>
      </c>
      <c r="F177" s="4">
        <v>20220824</v>
      </c>
      <c r="G177" s="5"/>
      <c r="H177" s="4">
        <v>1549673.4296999979</v>
      </c>
      <c r="I177" s="4">
        <v>2012820.8511999801</v>
      </c>
      <c r="J177" s="4">
        <v>1535524.978299998</v>
      </c>
      <c r="K177">
        <v>1717994.1368400001</v>
      </c>
      <c r="L177" s="4">
        <v>1009466.733059998</v>
      </c>
      <c r="M177" s="4">
        <v>1012086.322899996</v>
      </c>
      <c r="N177" s="4">
        <v>1162200.1847399999</v>
      </c>
      <c r="O177" s="4">
        <v>1504934.2706999979</v>
      </c>
      <c r="P177" s="4">
        <v>2525043.3887799801</v>
      </c>
      <c r="Q177">
        <v>2991860.4658677904</v>
      </c>
      <c r="R177">
        <v>0</v>
      </c>
      <c r="S177" s="4">
        <v>0</v>
      </c>
      <c r="T177">
        <f t="shared" si="6"/>
        <v>0</v>
      </c>
      <c r="U177">
        <f t="shared" si="7"/>
        <v>0</v>
      </c>
      <c r="V177">
        <v>2150078.8541408475</v>
      </c>
      <c r="W177">
        <v>1</v>
      </c>
      <c r="X177">
        <v>2417857.7560259523</v>
      </c>
      <c r="Y177">
        <v>1</v>
      </c>
      <c r="Z177">
        <f t="shared" si="8"/>
        <v>1.0520111008027546E-2</v>
      </c>
    </row>
    <row r="178" spans="1:26" x14ac:dyDescent="0.3">
      <c r="A178">
        <v>20220825</v>
      </c>
      <c r="B178" s="5">
        <v>44798</v>
      </c>
      <c r="C178">
        <v>832163.67195115576</v>
      </c>
      <c r="D178">
        <v>1068427.01699998</v>
      </c>
      <c r="E178" s="5">
        <v>44798</v>
      </c>
      <c r="F178" s="4">
        <v>20220825</v>
      </c>
      <c r="G178" s="5"/>
      <c r="H178" s="4">
        <v>1582797.4939399981</v>
      </c>
      <c r="I178" s="4">
        <v>2022782.78457998</v>
      </c>
      <c r="J178" s="4">
        <v>1592692.760719998</v>
      </c>
      <c r="K178">
        <v>1730942.66976</v>
      </c>
      <c r="L178" s="4">
        <v>1009178.6382999981</v>
      </c>
      <c r="M178" s="4">
        <v>1012306.857799996</v>
      </c>
      <c r="N178" s="4">
        <v>1160912.3105800019</v>
      </c>
      <c r="O178" s="4">
        <v>1506898.1629799982</v>
      </c>
      <c r="P178" s="4">
        <v>2597135.2100199801</v>
      </c>
      <c r="Q178">
        <v>3077371.5412318138</v>
      </c>
      <c r="R178">
        <v>4</v>
      </c>
      <c r="S178" s="4">
        <v>0</v>
      </c>
      <c r="T178">
        <f t="shared" si="6"/>
        <v>85511.075364023447</v>
      </c>
      <c r="U178">
        <f t="shared" si="7"/>
        <v>-85507.075364023447</v>
      </c>
      <c r="V178">
        <v>2150078.8541408475</v>
      </c>
      <c r="W178">
        <v>0</v>
      </c>
      <c r="X178">
        <v>2655211.138442324</v>
      </c>
      <c r="Y178">
        <v>1</v>
      </c>
      <c r="Z178">
        <f t="shared" si="8"/>
        <v>9.8166809782264164E-2</v>
      </c>
    </row>
    <row r="179" spans="1:26" x14ac:dyDescent="0.3">
      <c r="A179">
        <v>20220826</v>
      </c>
      <c r="B179" s="5">
        <v>44799</v>
      </c>
      <c r="C179">
        <v>828498.82313988276</v>
      </c>
      <c r="D179">
        <v>1069561.8081999801</v>
      </c>
      <c r="E179" s="5">
        <v>44799</v>
      </c>
      <c r="F179" s="4">
        <v>20220826</v>
      </c>
      <c r="G179" s="5"/>
      <c r="H179" s="4">
        <v>1596372.094799998</v>
      </c>
      <c r="I179" s="4">
        <v>2033310.68553998</v>
      </c>
      <c r="J179" s="4">
        <v>1598206.4370399979</v>
      </c>
      <c r="K179">
        <v>1787720.1441799998</v>
      </c>
      <c r="L179" s="4">
        <v>1010761.027059998</v>
      </c>
      <c r="M179" s="4">
        <v>1012724.3142399959</v>
      </c>
      <c r="N179" s="4">
        <v>1158964.614500002</v>
      </c>
      <c r="O179" s="4">
        <v>1513735.810279998</v>
      </c>
      <c r="P179" s="4">
        <v>2545001.2282599797</v>
      </c>
      <c r="Q179">
        <v>3015542.1799357845</v>
      </c>
      <c r="R179">
        <v>4</v>
      </c>
      <c r="S179" s="4">
        <v>0</v>
      </c>
      <c r="T179">
        <f t="shared" si="6"/>
        <v>-61829.361296029296</v>
      </c>
      <c r="U179">
        <f t="shared" si="7"/>
        <v>61833.361296029296</v>
      </c>
      <c r="V179">
        <v>2094222.5508650681</v>
      </c>
      <c r="W179">
        <v>2</v>
      </c>
      <c r="X179">
        <v>2586232.7582232426</v>
      </c>
      <c r="Y179">
        <v>1</v>
      </c>
      <c r="Z179">
        <f t="shared" si="8"/>
        <v>-2.5978491586001514E-2</v>
      </c>
    </row>
    <row r="180" spans="1:26" x14ac:dyDescent="0.3">
      <c r="A180">
        <v>20220829</v>
      </c>
      <c r="B180" s="5">
        <v>44802</v>
      </c>
      <c r="C180">
        <v>825704.29660943185</v>
      </c>
      <c r="D180">
        <v>1067044.8164999899</v>
      </c>
      <c r="E180" s="5">
        <v>44802</v>
      </c>
      <c r="F180" s="4">
        <v>20220829</v>
      </c>
      <c r="G180" s="5"/>
      <c r="H180" s="4">
        <v>1570373.9598799979</v>
      </c>
      <c r="I180" s="4">
        <v>1990686.7810999961</v>
      </c>
      <c r="J180" s="4">
        <v>1585500.7732999981</v>
      </c>
      <c r="K180">
        <v>1745972.8254799999</v>
      </c>
      <c r="L180" s="4">
        <v>1003498.327419996</v>
      </c>
      <c r="M180" s="4">
        <v>1005953.1630399959</v>
      </c>
      <c r="N180" s="4">
        <v>1151012.6831000021</v>
      </c>
      <c r="O180" s="4">
        <v>1484228.6961199981</v>
      </c>
      <c r="P180" s="4">
        <v>2512701.1025399799</v>
      </c>
      <c r="Q180">
        <v>2920841.3674066723</v>
      </c>
      <c r="R180">
        <v>3</v>
      </c>
      <c r="S180" s="4">
        <v>0</v>
      </c>
      <c r="T180">
        <f t="shared" si="6"/>
        <v>-94700.812529112212</v>
      </c>
      <c r="U180">
        <f t="shared" si="7"/>
        <v>94703.812529112212</v>
      </c>
      <c r="V180">
        <v>2085041.0044071055</v>
      </c>
      <c r="W180">
        <v>2</v>
      </c>
      <c r="X180">
        <v>2557301.0059988326</v>
      </c>
      <c r="Y180">
        <v>1</v>
      </c>
      <c r="Z180">
        <f t="shared" si="8"/>
        <v>-1.1186832326834434E-2</v>
      </c>
    </row>
    <row r="181" spans="1:26" x14ac:dyDescent="0.3">
      <c r="A181">
        <v>20220830</v>
      </c>
      <c r="B181" s="5">
        <v>44803</v>
      </c>
      <c r="C181">
        <v>826307.88645025343</v>
      </c>
      <c r="D181">
        <v>1060568.33729998</v>
      </c>
      <c r="E181" s="5">
        <v>44803</v>
      </c>
      <c r="F181" s="4">
        <v>20220830</v>
      </c>
      <c r="G181" s="5"/>
      <c r="H181" s="4">
        <v>1522484.9161599982</v>
      </c>
      <c r="I181" s="4">
        <v>1956356.0294199958</v>
      </c>
      <c r="J181" s="4">
        <v>1595838.0004199981</v>
      </c>
      <c r="K181">
        <v>1721692.95838</v>
      </c>
      <c r="L181" s="4">
        <v>991958.31639999803</v>
      </c>
      <c r="M181" s="4">
        <v>999183.15865999612</v>
      </c>
      <c r="N181" s="4">
        <v>1141091.077220002</v>
      </c>
      <c r="O181" s="4">
        <v>1496665.8704999979</v>
      </c>
      <c r="P181" s="4">
        <v>2486781.7206199798</v>
      </c>
      <c r="Q181">
        <v>2945685.7298550513</v>
      </c>
      <c r="R181">
        <v>1</v>
      </c>
      <c r="S181" s="4">
        <v>0</v>
      </c>
      <c r="T181">
        <f t="shared" si="6"/>
        <v>24844.362448378932</v>
      </c>
      <c r="U181">
        <f t="shared" si="7"/>
        <v>-24843.362448378932</v>
      </c>
      <c r="V181">
        <v>2015639.5129392759</v>
      </c>
      <c r="W181">
        <v>2</v>
      </c>
      <c r="X181">
        <v>2579053.0594722652</v>
      </c>
      <c r="Y181">
        <v>1</v>
      </c>
      <c r="Z181">
        <f t="shared" si="8"/>
        <v>8.5058635735125801E-3</v>
      </c>
    </row>
    <row r="182" spans="1:26" x14ac:dyDescent="0.3">
      <c r="A182">
        <v>20220831</v>
      </c>
      <c r="B182" s="5">
        <v>44804</v>
      </c>
      <c r="C182">
        <v>819184.2861611658</v>
      </c>
      <c r="D182">
        <v>1059083.59649999</v>
      </c>
      <c r="E182" s="5">
        <v>44804</v>
      </c>
      <c r="F182" s="4">
        <v>20220831</v>
      </c>
      <c r="G182" s="5"/>
      <c r="H182" s="4">
        <v>1506704.675739998</v>
      </c>
      <c r="I182" s="4">
        <v>1903829.6923399959</v>
      </c>
      <c r="J182" s="4">
        <v>1620176.760319998</v>
      </c>
      <c r="K182">
        <v>1788764.8839000002</v>
      </c>
      <c r="L182" s="4">
        <v>984807.679699998</v>
      </c>
      <c r="M182" s="4">
        <v>993903.45959999808</v>
      </c>
      <c r="N182" s="4">
        <v>1129977.7422199999</v>
      </c>
      <c r="O182" s="4">
        <v>1530670.8526399978</v>
      </c>
      <c r="P182" s="4">
        <v>2440943.30185998</v>
      </c>
      <c r="Q182">
        <v>2958708.5422288296</v>
      </c>
      <c r="R182">
        <v>2</v>
      </c>
      <c r="S182" s="4">
        <v>0</v>
      </c>
      <c r="T182">
        <f t="shared" si="6"/>
        <v>13022.812373778317</v>
      </c>
      <c r="U182">
        <f t="shared" si="7"/>
        <v>-13020.812373778317</v>
      </c>
      <c r="V182">
        <v>1922833.1855671164</v>
      </c>
      <c r="W182">
        <v>1</v>
      </c>
      <c r="X182">
        <v>2460306.1751706274</v>
      </c>
      <c r="Y182">
        <v>1</v>
      </c>
      <c r="Z182">
        <f t="shared" si="8"/>
        <v>-4.6042823301175574E-2</v>
      </c>
    </row>
    <row r="183" spans="1:26" x14ac:dyDescent="0.3">
      <c r="A183">
        <v>20220901</v>
      </c>
      <c r="B183" s="5">
        <v>44805</v>
      </c>
      <c r="C183">
        <v>815094.09902036306</v>
      </c>
      <c r="D183">
        <v>1060100.2069999799</v>
      </c>
      <c r="E183" s="5">
        <v>44805</v>
      </c>
      <c r="F183" s="4">
        <v>20220901</v>
      </c>
      <c r="G183" s="5"/>
      <c r="H183" s="4">
        <v>1505904.4315999979</v>
      </c>
      <c r="I183" s="4">
        <v>1902780.0598999958</v>
      </c>
      <c r="J183" s="4">
        <v>1644377.304619998</v>
      </c>
      <c r="K183">
        <v>1798676.5543200001</v>
      </c>
      <c r="L183" s="4">
        <v>984804.00431999809</v>
      </c>
      <c r="M183" s="4">
        <v>994313.38675999804</v>
      </c>
      <c r="N183" s="4">
        <v>1129520.821320002</v>
      </c>
      <c r="O183" s="4">
        <v>1531522.932219998</v>
      </c>
      <c r="P183" s="4">
        <v>2444634.4112599799</v>
      </c>
      <c r="Q183">
        <v>2991491.2190988595</v>
      </c>
      <c r="R183">
        <v>2</v>
      </c>
      <c r="S183" s="4">
        <v>0</v>
      </c>
      <c r="T183">
        <f t="shared" si="6"/>
        <v>32782.676870029885</v>
      </c>
      <c r="U183">
        <f t="shared" si="7"/>
        <v>-32780.676870029885</v>
      </c>
      <c r="V183">
        <v>1996091.6782984883</v>
      </c>
      <c r="W183">
        <v>1</v>
      </c>
      <c r="X183">
        <v>2554041.3912100196</v>
      </c>
      <c r="Y183">
        <v>1</v>
      </c>
      <c r="Z183">
        <f t="shared" si="8"/>
        <v>3.8099004500076673E-2</v>
      </c>
    </row>
    <row r="184" spans="1:26" x14ac:dyDescent="0.3">
      <c r="A184">
        <v>20220902</v>
      </c>
      <c r="B184" s="5">
        <v>44806</v>
      </c>
      <c r="C184">
        <v>813422.34102327237</v>
      </c>
      <c r="D184">
        <v>1059866.42089999</v>
      </c>
      <c r="E184" s="5">
        <v>44806</v>
      </c>
      <c r="F184" s="4">
        <v>20220902</v>
      </c>
      <c r="G184" s="5"/>
      <c r="H184" s="4">
        <v>1542166.1539199981</v>
      </c>
      <c r="I184" s="4">
        <v>1908042.726019996</v>
      </c>
      <c r="J184" s="4">
        <v>1689565.2722199981</v>
      </c>
      <c r="K184">
        <v>1777877.5158799998</v>
      </c>
      <c r="L184" s="4">
        <v>979702.72689999803</v>
      </c>
      <c r="M184" s="4">
        <v>989907.83421999798</v>
      </c>
      <c r="N184" s="4">
        <v>1123634.32082</v>
      </c>
      <c r="O184" s="4">
        <v>1514268.411119998</v>
      </c>
      <c r="P184" s="4">
        <v>2473151.41957998</v>
      </c>
      <c r="Q184">
        <v>3026279.7888580007</v>
      </c>
      <c r="R184">
        <v>2</v>
      </c>
      <c r="S184" s="4">
        <v>0</v>
      </c>
      <c r="T184">
        <f t="shared" si="6"/>
        <v>34788.569759141188</v>
      </c>
      <c r="U184">
        <f t="shared" si="7"/>
        <v>-34786.569759141188</v>
      </c>
      <c r="V184">
        <v>2023531.7104139384</v>
      </c>
      <c r="W184">
        <v>3</v>
      </c>
      <c r="X184">
        <v>2580248.4567338317</v>
      </c>
      <c r="Y184">
        <v>1</v>
      </c>
      <c r="Z184">
        <f t="shared" si="8"/>
        <v>1.0261018327269961E-2</v>
      </c>
    </row>
    <row r="185" spans="1:26" x14ac:dyDescent="0.3">
      <c r="A185">
        <v>20220905</v>
      </c>
      <c r="B185" s="5">
        <v>44809</v>
      </c>
      <c r="C185">
        <v>820874.91651172761</v>
      </c>
      <c r="D185">
        <v>1070341.56699999</v>
      </c>
      <c r="E185" s="5">
        <v>44809</v>
      </c>
      <c r="F185" s="4">
        <v>20220905</v>
      </c>
      <c r="G185" s="5"/>
      <c r="H185" s="4">
        <v>1560447.3230199979</v>
      </c>
      <c r="I185" s="4">
        <v>1932111.3576799959</v>
      </c>
      <c r="J185" s="4">
        <v>1700409.4580199979</v>
      </c>
      <c r="K185">
        <v>1828651.1219000001</v>
      </c>
      <c r="L185" s="4">
        <v>993428.04215999995</v>
      </c>
      <c r="M185" s="4">
        <v>1005684.1577799979</v>
      </c>
      <c r="N185" s="4">
        <v>1137866.37268</v>
      </c>
      <c r="O185" s="4">
        <v>1526174.415799998</v>
      </c>
      <c r="P185" s="4">
        <v>2500718.4373599803</v>
      </c>
      <c r="Q185">
        <v>3086318.1451045317</v>
      </c>
      <c r="R185">
        <v>1</v>
      </c>
      <c r="S185" s="4">
        <v>0</v>
      </c>
      <c r="T185">
        <f t="shared" si="6"/>
        <v>60038.35624653101</v>
      </c>
      <c r="U185">
        <f t="shared" si="7"/>
        <v>-60037.35624653101</v>
      </c>
      <c r="V185">
        <v>2063676.5267989452</v>
      </c>
      <c r="W185">
        <v>1</v>
      </c>
      <c r="X185">
        <v>2631437.7940772916</v>
      </c>
      <c r="Y185">
        <v>1</v>
      </c>
      <c r="Z185">
        <f t="shared" si="8"/>
        <v>1.9838917918880261E-2</v>
      </c>
    </row>
    <row r="186" spans="1:26" x14ac:dyDescent="0.3">
      <c r="A186">
        <v>20220906</v>
      </c>
      <c r="B186" s="5">
        <v>44810</v>
      </c>
      <c r="C186">
        <v>821409.30608237674</v>
      </c>
      <c r="D186">
        <v>1072119.70309999</v>
      </c>
      <c r="E186" s="5">
        <v>44810</v>
      </c>
      <c r="F186" s="4">
        <v>20220906</v>
      </c>
      <c r="G186" s="5"/>
      <c r="H186" s="4">
        <v>1566880.8505999981</v>
      </c>
      <c r="I186" s="4">
        <v>1930691.826739996</v>
      </c>
      <c r="J186" s="4">
        <v>1695855.8225199978</v>
      </c>
      <c r="K186">
        <v>1850370.5510000002</v>
      </c>
      <c r="L186" s="4">
        <v>995690.86353999993</v>
      </c>
      <c r="M186" s="4">
        <v>1008607.0765399979</v>
      </c>
      <c r="N186" s="4">
        <v>1135022.5094599999</v>
      </c>
      <c r="O186" s="4">
        <v>1565985.3607399981</v>
      </c>
      <c r="P186" s="4">
        <v>2549125.57497998</v>
      </c>
      <c r="Q186">
        <v>3390423.8577335263</v>
      </c>
      <c r="R186">
        <v>1</v>
      </c>
      <c r="S186" s="4">
        <v>0</v>
      </c>
      <c r="T186">
        <f t="shared" si="6"/>
        <v>304105.7126289946</v>
      </c>
      <c r="U186">
        <f t="shared" si="7"/>
        <v>-304104.7126289946</v>
      </c>
      <c r="V186">
        <v>2103625.3465849785</v>
      </c>
      <c r="W186">
        <v>4</v>
      </c>
      <c r="X186">
        <v>2890722.2896685149</v>
      </c>
      <c r="Y186">
        <v>1</v>
      </c>
      <c r="Z186">
        <f t="shared" si="8"/>
        <v>9.8533393483519846E-2</v>
      </c>
    </row>
    <row r="187" spans="1:26" x14ac:dyDescent="0.3">
      <c r="A187">
        <v>20220907</v>
      </c>
      <c r="B187" s="5">
        <v>44811</v>
      </c>
      <c r="C187">
        <v>817892.03143373202</v>
      </c>
      <c r="D187">
        <v>1066237.2398999899</v>
      </c>
      <c r="E187" s="5">
        <v>44811</v>
      </c>
      <c r="F187" s="4">
        <v>20220907</v>
      </c>
      <c r="G187" s="5"/>
      <c r="H187" s="4">
        <v>1531882.0905399979</v>
      </c>
      <c r="I187" s="4">
        <v>1899968.9228999962</v>
      </c>
      <c r="J187" s="4">
        <v>1692527.7426199981</v>
      </c>
      <c r="K187">
        <v>1853438.0472600001</v>
      </c>
      <c r="L187" s="4">
        <v>986817.29307999997</v>
      </c>
      <c r="M187" s="4">
        <v>1002852.0545399981</v>
      </c>
      <c r="N187" s="4">
        <v>1127071.79742</v>
      </c>
      <c r="O187" s="4">
        <v>1549217.291779998</v>
      </c>
      <c r="P187" s="4">
        <v>2511110.6102399798</v>
      </c>
      <c r="Q187">
        <v>3339782.5857976694</v>
      </c>
      <c r="R187">
        <v>4</v>
      </c>
      <c r="S187" s="4">
        <v>0</v>
      </c>
      <c r="T187">
        <f t="shared" si="6"/>
        <v>-50641.271935856901</v>
      </c>
      <c r="U187">
        <f t="shared" si="7"/>
        <v>50645.271935856901</v>
      </c>
      <c r="V187">
        <v>2067367.6244795115</v>
      </c>
      <c r="W187">
        <v>3</v>
      </c>
      <c r="X187">
        <v>2847546.585577915</v>
      </c>
      <c r="Y187">
        <v>4</v>
      </c>
      <c r="Z187">
        <f t="shared" si="8"/>
        <v>-1.4935957094498672E-2</v>
      </c>
    </row>
    <row r="188" spans="1:26" x14ac:dyDescent="0.3">
      <c r="A188">
        <v>20220908</v>
      </c>
      <c r="B188" s="5">
        <v>44812</v>
      </c>
      <c r="C188">
        <v>829243.55493800074</v>
      </c>
      <c r="D188">
        <v>1070619.61129999</v>
      </c>
      <c r="E188" s="5">
        <v>44812</v>
      </c>
      <c r="F188" s="4">
        <v>20220908</v>
      </c>
      <c r="G188" s="5"/>
      <c r="H188" s="4">
        <v>1520733.3554599979</v>
      </c>
      <c r="I188" s="4">
        <v>1885574.8035799961</v>
      </c>
      <c r="J188" s="4">
        <v>1688621.0153999981</v>
      </c>
      <c r="K188">
        <v>1848495.9013799999</v>
      </c>
      <c r="L188" s="4">
        <v>988338.64142</v>
      </c>
      <c r="M188" s="4">
        <v>1006327.5547599981</v>
      </c>
      <c r="N188" s="4">
        <v>1130097.9701799999</v>
      </c>
      <c r="O188" s="4">
        <v>1530878.312659998</v>
      </c>
      <c r="P188" s="4">
        <v>2513298.8805399803</v>
      </c>
      <c r="Q188">
        <v>3364380.0519939391</v>
      </c>
      <c r="R188">
        <v>1</v>
      </c>
      <c r="S188" s="4">
        <v>0</v>
      </c>
      <c r="T188">
        <f t="shared" si="6"/>
        <v>24597.466196269728</v>
      </c>
      <c r="U188">
        <f t="shared" si="7"/>
        <v>-24596.466196269728</v>
      </c>
      <c r="V188">
        <v>2082593.7640549627</v>
      </c>
      <c r="W188">
        <v>1</v>
      </c>
      <c r="X188">
        <v>2851541.5035405192</v>
      </c>
      <c r="Y188">
        <v>2</v>
      </c>
      <c r="Z188">
        <f t="shared" si="8"/>
        <v>1.4029333120790459E-3</v>
      </c>
    </row>
    <row r="189" spans="1:26" x14ac:dyDescent="0.3">
      <c r="A189">
        <v>20220909</v>
      </c>
      <c r="B189" s="5">
        <v>44813</v>
      </c>
      <c r="C189">
        <v>832740.47500917432</v>
      </c>
      <c r="D189">
        <v>1077971.1621999899</v>
      </c>
      <c r="E189" s="5">
        <v>44813</v>
      </c>
      <c r="G189" s="5"/>
      <c r="H189" s="4">
        <v>1497484.083279998</v>
      </c>
      <c r="I189" s="4">
        <v>1875978.1837999958</v>
      </c>
      <c r="J189" s="4">
        <v>1751717.3094199982</v>
      </c>
      <c r="K189">
        <v>1896531.70896</v>
      </c>
      <c r="L189" s="4">
        <v>1004023.4926199981</v>
      </c>
      <c r="M189" s="4">
        <v>1013919.252059998</v>
      </c>
      <c r="N189" s="4">
        <v>1147904.3198799998</v>
      </c>
      <c r="O189" s="4">
        <v>1503880.9650799981</v>
      </c>
      <c r="P189" s="4">
        <v>2545902.5312199802</v>
      </c>
      <c r="Q189">
        <v>3408067.2941850042</v>
      </c>
      <c r="R189">
        <v>4</v>
      </c>
      <c r="S189" s="4">
        <v>0</v>
      </c>
      <c r="T189">
        <f t="shared" si="6"/>
        <v>43687.242191065103</v>
      </c>
      <c r="U189">
        <f t="shared" si="7"/>
        <v>-43683.242191065103</v>
      </c>
      <c r="V189">
        <v>2011996.0867060544</v>
      </c>
      <c r="W189">
        <v>1</v>
      </c>
      <c r="X189">
        <v>2809884.4803650128</v>
      </c>
      <c r="Y189">
        <v>2</v>
      </c>
      <c r="Z189">
        <f t="shared" si="8"/>
        <v>-1.4608597884261675E-2</v>
      </c>
    </row>
    <row r="190" spans="1:26" x14ac:dyDescent="0.3">
      <c r="A190">
        <v>20220913</v>
      </c>
      <c r="B190" s="5">
        <v>44817</v>
      </c>
      <c r="C190">
        <v>823458.74967472197</v>
      </c>
      <c r="D190">
        <v>1066295.34839999</v>
      </c>
      <c r="E190" s="5">
        <v>44817</v>
      </c>
      <c r="F190" s="4">
        <v>20220913</v>
      </c>
      <c r="G190" s="5"/>
      <c r="H190" s="4">
        <v>1490300.149079998</v>
      </c>
      <c r="I190" s="4">
        <v>1900129.9898199961</v>
      </c>
      <c r="J190" s="4">
        <v>1706918.7146599977</v>
      </c>
      <c r="K190">
        <v>1882909.0560600001</v>
      </c>
      <c r="L190" s="4">
        <v>992681.91761999798</v>
      </c>
      <c r="M190" s="4">
        <v>1001063.375079998</v>
      </c>
      <c r="N190" s="4">
        <v>1146755.8598799999</v>
      </c>
      <c r="O190" s="4">
        <v>1483814.3337199981</v>
      </c>
      <c r="P190" s="4">
        <v>2490808.1022399804</v>
      </c>
      <c r="Q190">
        <v>3334272.577614361</v>
      </c>
      <c r="R190">
        <v>4</v>
      </c>
      <c r="S190" s="4">
        <v>0</v>
      </c>
      <c r="T190">
        <f t="shared" si="6"/>
        <v>-73794.716570643242</v>
      </c>
      <c r="U190">
        <f t="shared" si="7"/>
        <v>73798.716570643242</v>
      </c>
      <c r="V190">
        <v>1958256.2098333193</v>
      </c>
      <c r="W190">
        <v>2</v>
      </c>
      <c r="X190">
        <v>2734833.3501412161</v>
      </c>
      <c r="Y190">
        <v>2</v>
      </c>
      <c r="Z190">
        <f t="shared" si="8"/>
        <v>-2.6709685308503262E-2</v>
      </c>
    </row>
    <row r="191" spans="1:26" x14ac:dyDescent="0.3">
      <c r="A191">
        <v>20220914</v>
      </c>
      <c r="B191" s="5">
        <v>44818</v>
      </c>
      <c r="C191">
        <v>815700.12133528688</v>
      </c>
      <c r="D191">
        <v>1036650.19829999</v>
      </c>
      <c r="E191" s="5">
        <v>44818</v>
      </c>
      <c r="F191" s="4">
        <v>20220914</v>
      </c>
      <c r="G191" s="5"/>
      <c r="H191" s="4">
        <v>1457348.445059998</v>
      </c>
      <c r="I191" s="4">
        <v>1866368.7986599959</v>
      </c>
      <c r="J191" s="4">
        <v>1666619.2757199979</v>
      </c>
      <c r="K191">
        <v>1836327.0019799999</v>
      </c>
      <c r="L191" s="4">
        <v>959873.6356399979</v>
      </c>
      <c r="M191" s="4">
        <v>968070.74215999804</v>
      </c>
      <c r="N191" s="4">
        <v>1107156.8889599999</v>
      </c>
      <c r="O191" s="4">
        <v>1457007.3055599979</v>
      </c>
      <c r="P191" s="4">
        <v>2425011.5202199803</v>
      </c>
      <c r="Q191">
        <v>3346821.4003019105</v>
      </c>
      <c r="R191">
        <v>1</v>
      </c>
      <c r="S191" s="4">
        <v>0</v>
      </c>
      <c r="T191">
        <f t="shared" si="6"/>
        <v>12548.822687549517</v>
      </c>
      <c r="U191">
        <f t="shared" si="7"/>
        <v>-12547.822687549517</v>
      </c>
      <c r="V191">
        <v>1937247.7016848938</v>
      </c>
      <c r="W191">
        <v>2</v>
      </c>
      <c r="X191">
        <v>2705493.7987651322</v>
      </c>
      <c r="Y191">
        <v>2</v>
      </c>
      <c r="Z191">
        <f t="shared" si="8"/>
        <v>-1.0728094775708687E-2</v>
      </c>
    </row>
    <row r="192" spans="1:26" x14ac:dyDescent="0.3">
      <c r="A192">
        <v>20220915</v>
      </c>
      <c r="B192" s="5">
        <v>44819</v>
      </c>
      <c r="C192">
        <v>796558.90228803293</v>
      </c>
      <c r="D192">
        <v>1021357.3103999899</v>
      </c>
      <c r="E192" s="5">
        <v>44819</v>
      </c>
      <c r="F192" s="4">
        <v>20220915</v>
      </c>
      <c r="G192" s="5"/>
      <c r="H192" s="4">
        <v>1441257.3274199979</v>
      </c>
      <c r="I192" s="4">
        <v>1845777.0027999959</v>
      </c>
      <c r="J192" s="4">
        <v>1641205.0082799981</v>
      </c>
      <c r="K192">
        <v>1840204.4564</v>
      </c>
      <c r="L192" s="4">
        <v>945149.92061999789</v>
      </c>
      <c r="M192" s="4">
        <v>954390.25131999794</v>
      </c>
      <c r="N192" s="4">
        <v>1085337.9700399979</v>
      </c>
      <c r="O192" s="4">
        <v>1459495.764479998</v>
      </c>
      <c r="P192" s="4">
        <v>2387979.7333599799</v>
      </c>
      <c r="Q192">
        <v>3274576.4631708455</v>
      </c>
      <c r="R192">
        <v>2</v>
      </c>
      <c r="S192" s="4">
        <v>0</v>
      </c>
      <c r="T192">
        <f t="shared" si="6"/>
        <v>-72244.937131064944</v>
      </c>
      <c r="U192">
        <f t="shared" si="7"/>
        <v>72246.937131064944</v>
      </c>
      <c r="V192">
        <v>1907649.1141569912</v>
      </c>
      <c r="W192">
        <v>4</v>
      </c>
      <c r="X192">
        <v>2647093.0247594584</v>
      </c>
      <c r="Y192">
        <v>2</v>
      </c>
      <c r="Z192">
        <f t="shared" si="8"/>
        <v>-2.1585994406022914E-2</v>
      </c>
    </row>
    <row r="193" spans="1:26" x14ac:dyDescent="0.3">
      <c r="A193">
        <v>20220916</v>
      </c>
      <c r="B193" s="5">
        <v>44820</v>
      </c>
      <c r="C193">
        <v>795597.45569297124</v>
      </c>
      <c r="D193">
        <v>1015659.7944999899</v>
      </c>
      <c r="E193" s="5">
        <v>44820</v>
      </c>
      <c r="F193" s="4">
        <v>20220916</v>
      </c>
      <c r="G193" s="5"/>
      <c r="H193" s="4">
        <v>1497372.1577199982</v>
      </c>
      <c r="I193" s="4">
        <v>1875697.5155799959</v>
      </c>
      <c r="J193" s="4">
        <v>1658163.986959998</v>
      </c>
      <c r="K193">
        <v>1839589.0435800001</v>
      </c>
      <c r="L193" s="4">
        <v>943612.67939999793</v>
      </c>
      <c r="M193" s="4">
        <v>954882.99229999795</v>
      </c>
      <c r="N193" s="4">
        <v>1077429.07024</v>
      </c>
      <c r="O193" s="4">
        <v>1493875.2097599979</v>
      </c>
      <c r="P193" s="4">
        <v>2472931.6024599802</v>
      </c>
      <c r="Q193">
        <v>3357914.9669475388</v>
      </c>
      <c r="R193">
        <v>3</v>
      </c>
      <c r="S193" s="4">
        <v>0</v>
      </c>
      <c r="T193">
        <f t="shared" si="6"/>
        <v>83338.503776693251</v>
      </c>
      <c r="U193">
        <f t="shared" si="7"/>
        <v>-83335.503776693251</v>
      </c>
      <c r="V193">
        <v>1975539.601832306</v>
      </c>
      <c r="W193">
        <v>4</v>
      </c>
      <c r="X193">
        <v>2808767.3726590127</v>
      </c>
      <c r="Y193">
        <v>2</v>
      </c>
      <c r="Z193">
        <f t="shared" si="8"/>
        <v>6.1076186740451129E-2</v>
      </c>
    </row>
    <row r="194" spans="1:26" x14ac:dyDescent="0.3">
      <c r="A194">
        <v>20220919</v>
      </c>
      <c r="B194" s="5">
        <v>44823</v>
      </c>
      <c r="C194">
        <v>796564.10660163825</v>
      </c>
      <c r="D194">
        <v>1027579.69049999</v>
      </c>
      <c r="E194" s="5">
        <v>44823</v>
      </c>
      <c r="F194" s="4">
        <v>20220919</v>
      </c>
      <c r="G194" s="5"/>
      <c r="H194" s="4">
        <v>1549704.1217599981</v>
      </c>
      <c r="I194" s="4">
        <v>1917179.151039996</v>
      </c>
      <c r="J194" s="4">
        <v>1682846.4877399981</v>
      </c>
      <c r="K194">
        <v>1830517.5267</v>
      </c>
      <c r="L194" s="4">
        <v>965896.4671399981</v>
      </c>
      <c r="M194" s="4">
        <v>975974.661399998</v>
      </c>
      <c r="N194" s="4">
        <v>1091877.3697200001</v>
      </c>
      <c r="O194" s="4">
        <v>1507092.2960999981</v>
      </c>
      <c r="P194" s="4">
        <v>2510589.7205999801</v>
      </c>
      <c r="Q194">
        <v>3371071.9775403752</v>
      </c>
      <c r="R194">
        <v>3</v>
      </c>
      <c r="S194" s="4">
        <v>0</v>
      </c>
      <c r="T194">
        <f t="shared" si="6"/>
        <v>13157.010592836421</v>
      </c>
      <c r="U194">
        <f t="shared" si="7"/>
        <v>-13154.010592836421</v>
      </c>
      <c r="V194">
        <v>1989787.3084731849</v>
      </c>
      <c r="W194">
        <v>1</v>
      </c>
      <c r="X194">
        <v>2830453.5391671681</v>
      </c>
      <c r="Y194">
        <v>2</v>
      </c>
      <c r="Z194">
        <f t="shared" si="8"/>
        <v>7.7208838009341736E-3</v>
      </c>
    </row>
    <row r="195" spans="1:26" x14ac:dyDescent="0.3">
      <c r="A195">
        <v>20220920</v>
      </c>
      <c r="B195" s="5">
        <v>44824</v>
      </c>
      <c r="C195">
        <v>790657.58375118708</v>
      </c>
      <c r="D195">
        <v>1022498.19029999</v>
      </c>
      <c r="E195" s="5">
        <v>44824</v>
      </c>
      <c r="F195" s="4">
        <v>20220920</v>
      </c>
      <c r="G195" s="5"/>
      <c r="H195" s="4">
        <v>1536366.2686799981</v>
      </c>
      <c r="I195" s="4">
        <v>1910919.7887799959</v>
      </c>
      <c r="J195" s="4">
        <v>1654918.397859998</v>
      </c>
      <c r="K195">
        <v>1773778.6969000001</v>
      </c>
      <c r="L195" s="4">
        <v>959130.17289999803</v>
      </c>
      <c r="M195" s="4">
        <v>970890.48537999799</v>
      </c>
      <c r="N195" s="4">
        <v>1084396.8918999999</v>
      </c>
      <c r="O195" s="4">
        <v>1471384.6343599982</v>
      </c>
      <c r="P195" s="4">
        <v>2466475.6018399801</v>
      </c>
      <c r="Q195">
        <v>3321478.1351860911</v>
      </c>
      <c r="R195">
        <v>3</v>
      </c>
      <c r="S195" s="4">
        <v>0</v>
      </c>
      <c r="T195">
        <f t="shared" si="6"/>
        <v>-49593.842354284134</v>
      </c>
      <c r="U195">
        <f t="shared" si="7"/>
        <v>49596.842354284134</v>
      </c>
      <c r="V195">
        <v>1973731.9019149863</v>
      </c>
      <c r="W195">
        <v>1</v>
      </c>
      <c r="X195">
        <v>2816769.9170008413</v>
      </c>
      <c r="Y195">
        <v>2</v>
      </c>
      <c r="Z195">
        <f t="shared" si="8"/>
        <v>-4.8344274078256028E-3</v>
      </c>
    </row>
    <row r="196" spans="1:26" x14ac:dyDescent="0.3">
      <c r="A196">
        <v>20220921</v>
      </c>
      <c r="B196" s="5">
        <v>44825</v>
      </c>
      <c r="C196">
        <v>783679.23991699913</v>
      </c>
      <c r="D196">
        <v>1021715.07069999</v>
      </c>
      <c r="E196" s="5">
        <v>44825</v>
      </c>
      <c r="F196" s="4">
        <v>20220921</v>
      </c>
      <c r="G196" s="5"/>
      <c r="H196" s="4">
        <v>1572563.4690199981</v>
      </c>
      <c r="I196" s="4">
        <v>1909810.7796999961</v>
      </c>
      <c r="J196" s="4">
        <v>1679784.9711399979</v>
      </c>
      <c r="K196">
        <v>1815576.1176600002</v>
      </c>
      <c r="L196" s="4">
        <v>963142.94051999808</v>
      </c>
      <c r="M196" s="4">
        <v>973554.61103999801</v>
      </c>
      <c r="N196" s="4">
        <v>1088537.8348600001</v>
      </c>
      <c r="O196" s="4">
        <v>1505589.526739998</v>
      </c>
      <c r="P196" s="4">
        <v>2487997.7597999801</v>
      </c>
      <c r="Q196">
        <v>3350415.0128879556</v>
      </c>
      <c r="R196">
        <v>4</v>
      </c>
      <c r="S196" s="4">
        <v>0</v>
      </c>
      <c r="T196">
        <f t="shared" ref="T196:T259" si="9">Q196-Q195</f>
        <v>28936.877701864578</v>
      </c>
      <c r="U196">
        <f t="shared" ref="U196:U259" si="10">R196-T196</f>
        <v>-28932.877701864578</v>
      </c>
      <c r="V196">
        <v>2078803.804644285</v>
      </c>
      <c r="W196">
        <v>1</v>
      </c>
      <c r="X196">
        <v>2892516.9118344635</v>
      </c>
      <c r="Y196">
        <v>2</v>
      </c>
      <c r="Z196">
        <f t="shared" ref="Z196:Z259" si="11">(X196-X195)/X195</f>
        <v>2.6891438443887465E-2</v>
      </c>
    </row>
    <row r="197" spans="1:26" x14ac:dyDescent="0.3">
      <c r="A197">
        <v>20220922</v>
      </c>
      <c r="B197" s="5">
        <v>44826</v>
      </c>
      <c r="C197">
        <v>780968.4934261262</v>
      </c>
      <c r="D197">
        <v>994703.80649999005</v>
      </c>
      <c r="E197" s="5">
        <v>44826</v>
      </c>
      <c r="F197" s="4">
        <v>20220922</v>
      </c>
      <c r="G197" s="5"/>
      <c r="H197" s="4">
        <v>1532455.4846199979</v>
      </c>
      <c r="I197" s="4">
        <v>1856884.8384999961</v>
      </c>
      <c r="J197" s="4">
        <v>1614752.164919998</v>
      </c>
      <c r="K197">
        <v>1736149.9464000002</v>
      </c>
      <c r="L197" s="4">
        <v>940036.3877199979</v>
      </c>
      <c r="M197" s="4">
        <v>944691.48779999802</v>
      </c>
      <c r="N197" s="4">
        <v>1054605.294619998</v>
      </c>
      <c r="O197" s="4">
        <v>1470124.088079998</v>
      </c>
      <c r="P197" s="4">
        <v>2432495.88251998</v>
      </c>
      <c r="Q197">
        <v>3350415.0128879556</v>
      </c>
      <c r="R197">
        <v>0</v>
      </c>
      <c r="S197" s="4">
        <v>0</v>
      </c>
      <c r="T197">
        <f t="shared" si="9"/>
        <v>0</v>
      </c>
      <c r="U197">
        <f t="shared" si="10"/>
        <v>0</v>
      </c>
      <c r="V197">
        <v>2145407.069955803</v>
      </c>
      <c r="W197">
        <v>1</v>
      </c>
      <c r="X197">
        <v>2829976.9778004452</v>
      </c>
      <c r="Y197">
        <v>2</v>
      </c>
      <c r="Z197">
        <f t="shared" si="11"/>
        <v>-2.1621285524085269E-2</v>
      </c>
    </row>
    <row r="198" spans="1:26" x14ac:dyDescent="0.3">
      <c r="A198">
        <v>20220923</v>
      </c>
      <c r="B198" s="5">
        <v>44827</v>
      </c>
      <c r="C198">
        <v>777037.87899871252</v>
      </c>
      <c r="D198">
        <v>995126.40959999</v>
      </c>
      <c r="E198" s="5">
        <v>44827</v>
      </c>
      <c r="F198" s="4">
        <v>20220923</v>
      </c>
      <c r="G198" s="5"/>
      <c r="H198" s="4">
        <v>1519457.1065199981</v>
      </c>
      <c r="I198" s="4">
        <v>1869922.6104799961</v>
      </c>
      <c r="J198" s="4">
        <v>1601025.379479998</v>
      </c>
      <c r="K198">
        <v>1723936.3418200002</v>
      </c>
      <c r="L198" s="4">
        <v>943073.25905999797</v>
      </c>
      <c r="M198" s="4">
        <v>945386.50039999804</v>
      </c>
      <c r="N198" s="4">
        <v>1064330.5006399979</v>
      </c>
      <c r="O198" s="4">
        <v>1446357.2779799979</v>
      </c>
      <c r="P198" s="4">
        <v>2393166.68187998</v>
      </c>
      <c r="Q198">
        <v>3350415.0128879556</v>
      </c>
      <c r="R198">
        <v>0</v>
      </c>
      <c r="S198" s="4">
        <v>0</v>
      </c>
      <c r="T198">
        <f t="shared" si="9"/>
        <v>0</v>
      </c>
      <c r="U198">
        <f t="shared" si="10"/>
        <v>0</v>
      </c>
      <c r="V198">
        <v>2145407.069955803</v>
      </c>
      <c r="W198">
        <v>0</v>
      </c>
      <c r="X198">
        <v>2779003.8227149802</v>
      </c>
      <c r="Y198">
        <v>2</v>
      </c>
      <c r="Z198">
        <f t="shared" si="11"/>
        <v>-1.8011862105352893E-2</v>
      </c>
    </row>
    <row r="199" spans="1:26" x14ac:dyDescent="0.3">
      <c r="A199">
        <v>20220926</v>
      </c>
      <c r="B199" s="5">
        <v>44830</v>
      </c>
      <c r="C199">
        <v>788289.38748661394</v>
      </c>
      <c r="D199">
        <v>1023861.86509999</v>
      </c>
      <c r="E199" s="5">
        <v>44830</v>
      </c>
      <c r="F199" s="4">
        <v>20220926</v>
      </c>
      <c r="G199" s="5"/>
      <c r="H199" s="4">
        <v>1527803.109539998</v>
      </c>
      <c r="I199" s="4">
        <v>1891675.2933999959</v>
      </c>
      <c r="J199" s="4">
        <v>1622218.7016799981</v>
      </c>
      <c r="K199">
        <v>1726564.7751200001</v>
      </c>
      <c r="L199" s="4">
        <v>975882.4481399979</v>
      </c>
      <c r="M199" s="4">
        <v>966972.20715999813</v>
      </c>
      <c r="N199" s="4">
        <v>1099201.906539998</v>
      </c>
      <c r="O199" s="4">
        <v>1472314.707939998</v>
      </c>
      <c r="P199" s="4">
        <v>2413472.8585999804</v>
      </c>
      <c r="Q199">
        <v>3369016.9380376269</v>
      </c>
      <c r="R199">
        <v>2</v>
      </c>
      <c r="S199" s="4">
        <v>0</v>
      </c>
      <c r="T199">
        <f t="shared" si="9"/>
        <v>18601.925149671268</v>
      </c>
      <c r="U199">
        <f t="shared" si="10"/>
        <v>-18599.925149671268</v>
      </c>
      <c r="V199">
        <v>2145407.069955803</v>
      </c>
      <c r="W199">
        <v>0</v>
      </c>
      <c r="X199">
        <v>2799444.7752563055</v>
      </c>
      <c r="Y199">
        <v>3</v>
      </c>
      <c r="Z199">
        <f t="shared" si="11"/>
        <v>7.3554963740047018E-3</v>
      </c>
    </row>
    <row r="200" spans="1:26" x14ac:dyDescent="0.3">
      <c r="A200">
        <v>20220927</v>
      </c>
      <c r="B200" s="5">
        <v>44831</v>
      </c>
      <c r="C200">
        <v>775399.27942243288</v>
      </c>
      <c r="D200">
        <v>996776.79249998997</v>
      </c>
      <c r="E200" s="5">
        <v>44831</v>
      </c>
      <c r="F200" s="4">
        <v>20220927</v>
      </c>
      <c r="G200" s="5"/>
      <c r="H200" s="4">
        <v>1493426.430179998</v>
      </c>
      <c r="I200" s="4">
        <v>1831475.3040199962</v>
      </c>
      <c r="J200" s="4">
        <v>1578904.9267999982</v>
      </c>
      <c r="K200">
        <v>1701947.1510200002</v>
      </c>
      <c r="L200" s="4">
        <v>946941.76305999793</v>
      </c>
      <c r="M200" s="4">
        <v>941015.83069999795</v>
      </c>
      <c r="N200" s="4">
        <v>1071630.727299998</v>
      </c>
      <c r="O200" s="4">
        <v>1441319.8618799981</v>
      </c>
      <c r="P200" s="4">
        <v>2343414.1721199797</v>
      </c>
      <c r="Q200">
        <v>3208265.0165090072</v>
      </c>
      <c r="R200">
        <v>2</v>
      </c>
      <c r="S200" s="4">
        <v>0</v>
      </c>
      <c r="T200">
        <f t="shared" si="9"/>
        <v>-160751.92152861971</v>
      </c>
      <c r="U200">
        <f t="shared" si="10"/>
        <v>160753.92152861971</v>
      </c>
      <c r="V200">
        <v>2043350.0489165094</v>
      </c>
      <c r="W200">
        <v>1</v>
      </c>
      <c r="X200">
        <v>2665870.2295349394</v>
      </c>
      <c r="Y200">
        <v>2</v>
      </c>
      <c r="Z200">
        <f t="shared" si="11"/>
        <v>-4.771465645688136E-2</v>
      </c>
    </row>
    <row r="201" spans="1:26" x14ac:dyDescent="0.3">
      <c r="A201">
        <v>20220928</v>
      </c>
      <c r="B201" s="5">
        <v>44832</v>
      </c>
      <c r="C201">
        <v>775069.73472867825</v>
      </c>
      <c r="D201">
        <v>995783.39629999001</v>
      </c>
      <c r="E201" s="5">
        <v>44832</v>
      </c>
      <c r="F201" s="4">
        <v>20220928</v>
      </c>
      <c r="G201" s="5"/>
      <c r="H201" s="4">
        <v>1467326.4399799979</v>
      </c>
      <c r="I201" s="4">
        <v>1799436.5616399958</v>
      </c>
      <c r="J201" s="4">
        <v>1546259.2420799979</v>
      </c>
      <c r="K201">
        <v>1726181.595</v>
      </c>
      <c r="L201" s="4">
        <v>946768.37175999803</v>
      </c>
      <c r="M201" s="4">
        <v>944996.38083999814</v>
      </c>
      <c r="N201" s="4">
        <v>1061955.306819998</v>
      </c>
      <c r="O201" s="4">
        <v>1417709.4240399981</v>
      </c>
      <c r="P201" s="4">
        <v>2277416.0460199798</v>
      </c>
      <c r="Q201">
        <v>3117771.1795449965</v>
      </c>
      <c r="R201">
        <v>4</v>
      </c>
      <c r="S201" s="4">
        <v>0</v>
      </c>
      <c r="T201">
        <f t="shared" si="9"/>
        <v>-90493.836964010727</v>
      </c>
      <c r="U201">
        <f t="shared" si="10"/>
        <v>90497.836964010727</v>
      </c>
      <c r="V201">
        <v>2001179.4625962034</v>
      </c>
      <c r="W201">
        <v>1</v>
      </c>
      <c r="X201">
        <v>2625079.2509944928</v>
      </c>
      <c r="Y201">
        <v>2</v>
      </c>
      <c r="Z201">
        <f t="shared" si="11"/>
        <v>-1.5301186865184578E-2</v>
      </c>
    </row>
    <row r="202" spans="1:26" x14ac:dyDescent="0.3">
      <c r="A202">
        <v>20220929</v>
      </c>
      <c r="B202" s="5">
        <v>44833</v>
      </c>
      <c r="C202">
        <v>770549.5280357406</v>
      </c>
      <c r="D202">
        <v>995783.39629999001</v>
      </c>
      <c r="E202" s="5">
        <v>44833</v>
      </c>
      <c r="G202" s="5"/>
      <c r="H202" s="4">
        <v>1430887.7668799979</v>
      </c>
      <c r="I202" s="4">
        <v>1806376.5906799962</v>
      </c>
      <c r="J202" s="4">
        <v>1543995.410179998</v>
      </c>
      <c r="K202">
        <v>1720354.3414400001</v>
      </c>
      <c r="L202" s="4">
        <v>930147.83395999798</v>
      </c>
      <c r="M202" s="4">
        <v>929727.52343999804</v>
      </c>
      <c r="N202" s="4">
        <v>1035901.572019998</v>
      </c>
      <c r="O202" s="4">
        <v>1392107.6504399979</v>
      </c>
      <c r="P202" s="4">
        <v>2245144.72425998</v>
      </c>
      <c r="Q202">
        <v>3117771.1795449965</v>
      </c>
      <c r="R202">
        <v>0</v>
      </c>
      <c r="S202" s="4">
        <v>0</v>
      </c>
      <c r="T202">
        <f t="shared" si="9"/>
        <v>0</v>
      </c>
      <c r="U202">
        <f t="shared" si="10"/>
        <v>0</v>
      </c>
      <c r="V202">
        <v>2001179.4625962034</v>
      </c>
      <c r="W202">
        <v>0</v>
      </c>
      <c r="X202">
        <v>2625079.2509944928</v>
      </c>
      <c r="Y202">
        <v>0</v>
      </c>
      <c r="Z202">
        <f t="shared" si="11"/>
        <v>0</v>
      </c>
    </row>
    <row r="203" spans="1:26" x14ac:dyDescent="0.3">
      <c r="A203">
        <v>20220930</v>
      </c>
      <c r="B203" s="5">
        <v>44834</v>
      </c>
      <c r="C203">
        <v>753536.56500623957</v>
      </c>
      <c r="D203">
        <v>978228.17879998998</v>
      </c>
      <c r="E203" s="5">
        <v>44834</v>
      </c>
      <c r="F203" s="4">
        <v>20220930</v>
      </c>
      <c r="G203" s="5"/>
      <c r="H203" s="4">
        <v>1471636.890019998</v>
      </c>
      <c r="I203" s="4">
        <v>1859492.466639996</v>
      </c>
      <c r="J203" s="4">
        <v>1549089.728519998</v>
      </c>
      <c r="K203">
        <v>1776247.46716</v>
      </c>
      <c r="L203" s="4">
        <v>939746.30783999804</v>
      </c>
      <c r="M203" s="4">
        <v>935504.24253999791</v>
      </c>
      <c r="N203" s="4">
        <v>1039981.7764399979</v>
      </c>
      <c r="O203" s="4">
        <v>1431753.3625199979</v>
      </c>
      <c r="P203" s="4">
        <v>2280631.5267399801</v>
      </c>
      <c r="Q203">
        <v>2866142.0891023148</v>
      </c>
      <c r="R203">
        <v>1</v>
      </c>
      <c r="S203" s="4">
        <v>0</v>
      </c>
      <c r="T203">
        <f t="shared" si="9"/>
        <v>-251629.09044268169</v>
      </c>
      <c r="U203">
        <f t="shared" si="10"/>
        <v>251630.09044268169</v>
      </c>
      <c r="V203">
        <v>1948097.9367788294</v>
      </c>
      <c r="W203">
        <v>3</v>
      </c>
      <c r="X203">
        <v>2587861.2487423839</v>
      </c>
      <c r="Y203">
        <v>4</v>
      </c>
      <c r="Z203">
        <f t="shared" si="11"/>
        <v>-1.4177858530560212E-2</v>
      </c>
    </row>
    <row r="204" spans="1:26" x14ac:dyDescent="0.3">
      <c r="A204">
        <v>20221010</v>
      </c>
      <c r="B204" s="5">
        <v>44844</v>
      </c>
      <c r="C204">
        <v>754891.4237501208</v>
      </c>
      <c r="D204">
        <v>986302.42639998998</v>
      </c>
      <c r="E204" s="5">
        <v>44844</v>
      </c>
      <c r="F204" s="4">
        <v>20221010</v>
      </c>
      <c r="G204" s="5" t="s">
        <v>12</v>
      </c>
      <c r="H204" s="4">
        <v>1483178.4523199978</v>
      </c>
      <c r="I204" s="4">
        <v>1939010.9317399978</v>
      </c>
      <c r="J204" s="4">
        <v>1570170.3710799981</v>
      </c>
      <c r="K204">
        <v>1797363.0343800001</v>
      </c>
      <c r="L204" s="4">
        <v>968755.34265999799</v>
      </c>
      <c r="M204" s="4">
        <v>962703.80821999791</v>
      </c>
      <c r="N204" s="4">
        <v>1058939.5214599981</v>
      </c>
      <c r="O204" s="4">
        <v>1474420.406839998</v>
      </c>
      <c r="P204" s="4">
        <v>2371821.93701998</v>
      </c>
      <c r="Q204">
        <v>2866142.0891023148</v>
      </c>
      <c r="R204">
        <v>0</v>
      </c>
      <c r="S204" s="4">
        <v>0</v>
      </c>
      <c r="T204">
        <f t="shared" si="9"/>
        <v>0</v>
      </c>
      <c r="U204">
        <f t="shared" si="10"/>
        <v>0</v>
      </c>
      <c r="V204">
        <v>1978945.229976947</v>
      </c>
      <c r="W204">
        <v>4</v>
      </c>
      <c r="X204">
        <v>2628839.0645179497</v>
      </c>
      <c r="Y204">
        <v>4</v>
      </c>
      <c r="Z204">
        <f t="shared" si="11"/>
        <v>1.583462629438873E-2</v>
      </c>
    </row>
    <row r="205" spans="1:26" x14ac:dyDescent="0.3">
      <c r="A205">
        <v>20221011</v>
      </c>
      <c r="B205" s="5">
        <v>44845</v>
      </c>
      <c r="C205">
        <v>766345.39132268121</v>
      </c>
      <c r="D205">
        <v>1007179.93309999</v>
      </c>
      <c r="E205" s="5">
        <v>44845</v>
      </c>
      <c r="F205" s="4">
        <v>20221011</v>
      </c>
      <c r="G205" s="5"/>
      <c r="H205" s="4">
        <v>1491243.6197599978</v>
      </c>
      <c r="I205" s="4">
        <v>1960536.4484599982</v>
      </c>
      <c r="J205" s="4">
        <v>1563944.2846799982</v>
      </c>
      <c r="K205">
        <v>1801427.4934799999</v>
      </c>
      <c r="L205" s="4">
        <v>961172.47555999795</v>
      </c>
      <c r="M205" s="4">
        <v>954519.14033999795</v>
      </c>
      <c r="N205" s="4">
        <v>1055882.669099998</v>
      </c>
      <c r="O205" s="4">
        <v>1491875.771539998</v>
      </c>
      <c r="P205" s="4">
        <v>2388323.3670799797</v>
      </c>
      <c r="Q205">
        <v>2866142.0891023148</v>
      </c>
      <c r="R205">
        <v>0</v>
      </c>
      <c r="S205" s="4">
        <v>0</v>
      </c>
      <c r="T205">
        <f t="shared" si="9"/>
        <v>0</v>
      </c>
      <c r="U205">
        <f t="shared" si="10"/>
        <v>0</v>
      </c>
      <c r="V205">
        <v>2099302.1435976974</v>
      </c>
      <c r="W205">
        <v>1</v>
      </c>
      <c r="X205">
        <v>2734010.6530574854</v>
      </c>
      <c r="Y205">
        <v>4</v>
      </c>
      <c r="Z205">
        <f t="shared" si="11"/>
        <v>4.0006857003557564E-2</v>
      </c>
    </row>
    <row r="206" spans="1:26" x14ac:dyDescent="0.3">
      <c r="A206">
        <v>20221012</v>
      </c>
      <c r="B206" s="5">
        <v>44846</v>
      </c>
      <c r="C206">
        <v>759927.24867035379</v>
      </c>
      <c r="D206">
        <v>999286.88279999001</v>
      </c>
      <c r="E206" s="5">
        <v>44846</v>
      </c>
      <c r="F206" s="4">
        <v>20221012</v>
      </c>
      <c r="G206" s="5"/>
      <c r="H206" s="4">
        <v>1526692.933879998</v>
      </c>
      <c r="I206" s="4">
        <v>2013153.8193799802</v>
      </c>
      <c r="J206" s="4">
        <v>1596381.828779998</v>
      </c>
      <c r="K206">
        <v>1834990.50966</v>
      </c>
      <c r="L206" s="4">
        <v>975872.43709999998</v>
      </c>
      <c r="M206" s="4">
        <v>968002.35481999593</v>
      </c>
      <c r="N206" s="4">
        <v>1081678.7613999979</v>
      </c>
      <c r="O206" s="4">
        <v>1528297.3625599979</v>
      </c>
      <c r="P206" s="4">
        <v>2425541.5366199799</v>
      </c>
      <c r="Q206">
        <v>2889549.0712090312</v>
      </c>
      <c r="R206">
        <v>2</v>
      </c>
      <c r="S206" s="4">
        <v>0</v>
      </c>
      <c r="T206">
        <f t="shared" si="9"/>
        <v>23406.982106716372</v>
      </c>
      <c r="U206">
        <f t="shared" si="10"/>
        <v>-23404.982106716372</v>
      </c>
      <c r="V206">
        <v>2069979.5185523964</v>
      </c>
      <c r="W206">
        <v>1</v>
      </c>
      <c r="X206">
        <v>2753054.5998086543</v>
      </c>
      <c r="Y206">
        <v>4</v>
      </c>
      <c r="Z206">
        <f t="shared" si="11"/>
        <v>6.9655715239703968E-3</v>
      </c>
    </row>
    <row r="207" spans="1:26" x14ac:dyDescent="0.3">
      <c r="A207">
        <v>20221013</v>
      </c>
      <c r="B207" s="5">
        <v>44847</v>
      </c>
      <c r="C207">
        <v>778099.38896780799</v>
      </c>
      <c r="D207">
        <v>1016726.2685999901</v>
      </c>
      <c r="E207" s="5">
        <v>44847</v>
      </c>
      <c r="F207" s="4">
        <v>20221013</v>
      </c>
      <c r="G207" s="5"/>
      <c r="H207" s="4">
        <v>1540024.5754399979</v>
      </c>
      <c r="I207" s="4">
        <v>2035731.81983998</v>
      </c>
      <c r="J207" s="4">
        <v>1570986.6863399982</v>
      </c>
      <c r="K207">
        <v>1821285.0550200001</v>
      </c>
      <c r="L207" s="4">
        <v>970575.07172000001</v>
      </c>
      <c r="M207" s="4">
        <v>962452.86457999586</v>
      </c>
      <c r="N207" s="4">
        <v>1085469.021879998</v>
      </c>
      <c r="O207" s="4">
        <v>1508288.3259199981</v>
      </c>
      <c r="P207" s="4">
        <v>2420535.1144599798</v>
      </c>
      <c r="Q207">
        <v>2926353.1302307197</v>
      </c>
      <c r="R207">
        <v>2</v>
      </c>
      <c r="S207" s="4">
        <v>0</v>
      </c>
      <c r="T207">
        <f t="shared" si="9"/>
        <v>36804.059021688532</v>
      </c>
      <c r="U207">
        <f t="shared" si="10"/>
        <v>-36802.059021688532</v>
      </c>
      <c r="V207">
        <v>2078007.5796804868</v>
      </c>
      <c r="W207">
        <v>1</v>
      </c>
      <c r="X207">
        <v>2796421.1620160495</v>
      </c>
      <c r="Y207">
        <v>4</v>
      </c>
      <c r="Z207">
        <f t="shared" si="11"/>
        <v>1.5752162056796592E-2</v>
      </c>
    </row>
    <row r="208" spans="1:26" x14ac:dyDescent="0.3">
      <c r="A208">
        <v>20221014</v>
      </c>
      <c r="B208" s="5">
        <v>44848</v>
      </c>
      <c r="C208">
        <v>778885.26935066539</v>
      </c>
      <c r="D208">
        <v>1016872.80599999</v>
      </c>
      <c r="E208" s="5">
        <v>44848</v>
      </c>
      <c r="F208" s="4">
        <v>20221014</v>
      </c>
      <c r="G208" s="5"/>
      <c r="H208" s="4">
        <v>1514910.9541999982</v>
      </c>
      <c r="I208" s="4">
        <v>2049800.4574199799</v>
      </c>
      <c r="J208" s="4">
        <v>1579829.7495399979</v>
      </c>
      <c r="K208">
        <v>1869391.3918999999</v>
      </c>
      <c r="L208" s="4">
        <v>970416.23943999805</v>
      </c>
      <c r="M208" s="4">
        <v>961672.53501999809</v>
      </c>
      <c r="N208" s="4">
        <v>1085944.4341399982</v>
      </c>
      <c r="O208" s="4">
        <v>1514327.4158799979</v>
      </c>
      <c r="P208" s="4">
        <v>2419614.1738999798</v>
      </c>
      <c r="Q208">
        <v>2920083.2834045989</v>
      </c>
      <c r="R208">
        <v>4</v>
      </c>
      <c r="S208" s="4">
        <v>0</v>
      </c>
      <c r="T208">
        <f t="shared" si="9"/>
        <v>-6269.8468261207454</v>
      </c>
      <c r="U208">
        <f t="shared" si="10"/>
        <v>6273.8468261207454</v>
      </c>
      <c r="V208">
        <v>2078007.5796804868</v>
      </c>
      <c r="W208">
        <v>0</v>
      </c>
      <c r="X208">
        <v>2794156.3938781251</v>
      </c>
      <c r="Y208">
        <v>2</v>
      </c>
      <c r="Z208">
        <f t="shared" si="11"/>
        <v>-8.0988091804154894E-4</v>
      </c>
    </row>
    <row r="209" spans="1:26" x14ac:dyDescent="0.3">
      <c r="A209">
        <v>20221017</v>
      </c>
      <c r="B209" s="5">
        <v>44851</v>
      </c>
      <c r="C209">
        <v>777223.12818587106</v>
      </c>
      <c r="D209">
        <v>1018763.13429999</v>
      </c>
      <c r="E209" s="5">
        <v>44851</v>
      </c>
      <c r="F209" s="4">
        <v>20221017</v>
      </c>
      <c r="G209" s="5"/>
      <c r="H209" s="4">
        <v>1514204.7927799979</v>
      </c>
      <c r="I209" s="4">
        <v>2036571.0396199799</v>
      </c>
      <c r="J209" s="4">
        <v>1543669.3051199981</v>
      </c>
      <c r="K209">
        <v>1841801.7134799999</v>
      </c>
      <c r="L209" s="4">
        <v>956937.97529999795</v>
      </c>
      <c r="M209" s="4">
        <v>947961.11855999811</v>
      </c>
      <c r="N209" s="4">
        <v>1073265.631519998</v>
      </c>
      <c r="O209" s="4">
        <v>1486614.3829999981</v>
      </c>
      <c r="P209" s="4">
        <v>2355965.3148999801</v>
      </c>
      <c r="Q209">
        <v>2920083.2834045989</v>
      </c>
      <c r="R209">
        <v>0</v>
      </c>
      <c r="S209" s="4">
        <v>0</v>
      </c>
      <c r="T209">
        <f t="shared" si="9"/>
        <v>0</v>
      </c>
      <c r="U209">
        <f t="shared" si="10"/>
        <v>0</v>
      </c>
      <c r="V209">
        <v>2090112.5455935562</v>
      </c>
      <c r="W209">
        <v>2</v>
      </c>
      <c r="X209">
        <v>2792887.5695186253</v>
      </c>
      <c r="Y209">
        <v>4</v>
      </c>
      <c r="Z209">
        <f t="shared" si="11"/>
        <v>-4.5409926311919702E-4</v>
      </c>
    </row>
    <row r="210" spans="1:26" x14ac:dyDescent="0.3">
      <c r="A210">
        <v>20221018</v>
      </c>
      <c r="B210" s="5">
        <v>44852</v>
      </c>
      <c r="C210">
        <v>764709.83582207852</v>
      </c>
      <c r="D210">
        <v>1013215.47169999</v>
      </c>
      <c r="E210" s="5">
        <v>44852</v>
      </c>
      <c r="F210" s="4">
        <v>20221018</v>
      </c>
      <c r="G210" s="5"/>
      <c r="H210" s="4">
        <v>1506996.2997799979</v>
      </c>
      <c r="I210" s="4">
        <v>2035208.3363399799</v>
      </c>
      <c r="J210" s="4">
        <v>1526359.625499998</v>
      </c>
      <c r="K210">
        <v>1845786.1534800001</v>
      </c>
      <c r="L210" s="4">
        <v>946106.90973999794</v>
      </c>
      <c r="M210" s="4">
        <v>936439.10901999811</v>
      </c>
      <c r="N210" s="4">
        <v>1057610.9181799979</v>
      </c>
      <c r="O210" s="4">
        <v>1477170.3842999979</v>
      </c>
      <c r="P210" s="4">
        <v>2335132.0514799799</v>
      </c>
      <c r="Q210">
        <v>2920083.2834045989</v>
      </c>
      <c r="R210">
        <v>0</v>
      </c>
      <c r="S210" s="4">
        <v>0</v>
      </c>
      <c r="T210">
        <f t="shared" si="9"/>
        <v>0</v>
      </c>
      <c r="U210">
        <f t="shared" si="10"/>
        <v>0</v>
      </c>
      <c r="V210">
        <v>2051208.4095637905</v>
      </c>
      <c r="W210">
        <v>3</v>
      </c>
      <c r="X210">
        <v>2718127.7223962443</v>
      </c>
      <c r="Y210">
        <v>4</v>
      </c>
      <c r="Z210">
        <f t="shared" si="11"/>
        <v>-2.6767940084056582E-2</v>
      </c>
    </row>
    <row r="211" spans="1:26" x14ac:dyDescent="0.3">
      <c r="A211">
        <v>20221019</v>
      </c>
      <c r="B211" s="5">
        <v>44853</v>
      </c>
      <c r="C211">
        <v>760322.69549396727</v>
      </c>
      <c r="D211">
        <v>1000091.68529999</v>
      </c>
      <c r="E211" s="5">
        <v>44853</v>
      </c>
      <c r="F211" s="4">
        <v>20221019</v>
      </c>
      <c r="G211" s="5"/>
      <c r="H211" s="4">
        <v>1516710.7353799981</v>
      </c>
      <c r="I211" s="4">
        <v>2039917.3693999802</v>
      </c>
      <c r="J211" s="4">
        <v>1522236.3352999981</v>
      </c>
      <c r="K211">
        <v>1842175.35916</v>
      </c>
      <c r="L211" s="4">
        <v>948392.30693999992</v>
      </c>
      <c r="M211" s="4">
        <v>937382.74221999792</v>
      </c>
      <c r="N211" s="4">
        <v>1053931.087279998</v>
      </c>
      <c r="O211" s="4">
        <v>1468338.2067999979</v>
      </c>
      <c r="P211" s="4">
        <v>2397719.77635998</v>
      </c>
      <c r="Q211">
        <v>2933507.3820711924</v>
      </c>
      <c r="R211">
        <v>3</v>
      </c>
      <c r="S211" s="4">
        <v>0</v>
      </c>
      <c r="T211">
        <f t="shared" si="9"/>
        <v>13424.098666593432</v>
      </c>
      <c r="U211">
        <f t="shared" si="10"/>
        <v>-13421.098666593432</v>
      </c>
      <c r="V211">
        <v>2060638.3665973626</v>
      </c>
      <c r="W211">
        <v>3</v>
      </c>
      <c r="X211">
        <v>2694087.9924693117</v>
      </c>
      <c r="Y211">
        <v>4</v>
      </c>
      <c r="Z211">
        <f t="shared" si="11"/>
        <v>-8.8442238121686501E-3</v>
      </c>
    </row>
    <row r="212" spans="1:26" x14ac:dyDescent="0.3">
      <c r="A212">
        <v>20221020</v>
      </c>
      <c r="B212" s="5">
        <v>44854</v>
      </c>
      <c r="C212">
        <v>757873.69609178125</v>
      </c>
      <c r="D212">
        <v>1000020.57989999</v>
      </c>
      <c r="E212" s="5">
        <v>44854</v>
      </c>
      <c r="F212" s="4">
        <v>20221020</v>
      </c>
      <c r="G212" s="5"/>
      <c r="H212" s="4">
        <v>1568975.813679998</v>
      </c>
      <c r="I212" s="4">
        <v>2010494.15413998</v>
      </c>
      <c r="J212" s="4">
        <v>1530611.2173999981</v>
      </c>
      <c r="K212">
        <v>1866177.5139199998</v>
      </c>
      <c r="L212" s="4">
        <v>940311.18041999987</v>
      </c>
      <c r="M212" s="4">
        <v>929397.91521999799</v>
      </c>
      <c r="N212" s="4">
        <v>1037424.871879998</v>
      </c>
      <c r="O212" s="4">
        <v>1508689.3602199978</v>
      </c>
      <c r="P212" s="4">
        <v>2481160.4412599797</v>
      </c>
      <c r="Q212">
        <v>3026340.4595215856</v>
      </c>
      <c r="R212">
        <v>3</v>
      </c>
      <c r="S212" s="4">
        <v>0</v>
      </c>
      <c r="T212">
        <f t="shared" si="9"/>
        <v>92833.077450393233</v>
      </c>
      <c r="U212">
        <f t="shared" si="10"/>
        <v>-92830.077450393233</v>
      </c>
      <c r="V212">
        <v>2049264.5828989022</v>
      </c>
      <c r="W212">
        <v>1</v>
      </c>
      <c r="X212">
        <v>2766334.5131256841</v>
      </c>
      <c r="Y212">
        <v>4</v>
      </c>
      <c r="Z212">
        <f t="shared" si="11"/>
        <v>2.6816689305739289E-2</v>
      </c>
    </row>
    <row r="213" spans="1:26" x14ac:dyDescent="0.3">
      <c r="A213">
        <v>20221021</v>
      </c>
      <c r="B213" s="5">
        <v>44855</v>
      </c>
      <c r="C213">
        <v>735685.42789130216</v>
      </c>
      <c r="D213">
        <v>992390.52159998997</v>
      </c>
      <c r="E213" s="5">
        <v>44855</v>
      </c>
      <c r="F213" s="4">
        <v>20221021</v>
      </c>
      <c r="G213" s="5"/>
      <c r="H213" s="4">
        <v>1601718.9394199981</v>
      </c>
      <c r="I213" s="4">
        <v>2052503.88955998</v>
      </c>
      <c r="J213" s="4">
        <v>1544268.9045999979</v>
      </c>
      <c r="K213">
        <v>1821025.3095</v>
      </c>
      <c r="L213" s="4">
        <v>940780.75960000011</v>
      </c>
      <c r="M213" s="4">
        <v>929571.55623999797</v>
      </c>
      <c r="N213" s="4">
        <v>1036069.102319998</v>
      </c>
      <c r="O213" s="4">
        <v>1481724.8282999978</v>
      </c>
      <c r="P213" s="4">
        <v>2473069.8924199799</v>
      </c>
      <c r="Q213">
        <v>3131695.1929673115</v>
      </c>
      <c r="R213">
        <v>4</v>
      </c>
      <c r="S213" s="4">
        <v>0</v>
      </c>
      <c r="T213">
        <f t="shared" si="9"/>
        <v>105354.73344572587</v>
      </c>
      <c r="U213">
        <f t="shared" si="10"/>
        <v>-105350.73344572587</v>
      </c>
      <c r="V213">
        <v>2120604.7887419192</v>
      </c>
      <c r="W213">
        <v>4</v>
      </c>
      <c r="X213">
        <v>2862636.6970494809</v>
      </c>
      <c r="Y213">
        <v>4</v>
      </c>
      <c r="Z213">
        <f t="shared" si="11"/>
        <v>3.4812197681394944E-2</v>
      </c>
    </row>
    <row r="214" spans="1:26" x14ac:dyDescent="0.3">
      <c r="A214">
        <v>20221024</v>
      </c>
      <c r="B214" s="5">
        <v>44858</v>
      </c>
      <c r="C214">
        <v>734475.22536242101</v>
      </c>
      <c r="D214">
        <v>991717.04859998997</v>
      </c>
      <c r="E214" s="5">
        <v>44858</v>
      </c>
      <c r="F214" s="4">
        <v>20221024</v>
      </c>
      <c r="G214" s="5"/>
      <c r="H214" s="4">
        <v>1635057.8710599979</v>
      </c>
      <c r="I214" s="4">
        <v>2075235.0006599799</v>
      </c>
      <c r="J214" s="4">
        <v>1579064.731119998</v>
      </c>
      <c r="K214">
        <v>1836566.32858</v>
      </c>
      <c r="L214" s="4">
        <v>953988.70107999793</v>
      </c>
      <c r="M214" s="4">
        <v>942702.37713999802</v>
      </c>
      <c r="N214" s="4">
        <v>1050271.8679</v>
      </c>
      <c r="O214" s="4">
        <v>1511955.768639998</v>
      </c>
      <c r="P214" s="4">
        <v>2470080.6740199802</v>
      </c>
      <c r="Q214">
        <v>3050778.427534176</v>
      </c>
      <c r="R214">
        <v>2</v>
      </c>
      <c r="S214" s="4">
        <v>0</v>
      </c>
      <c r="T214">
        <f t="shared" si="9"/>
        <v>-80916.765433135442</v>
      </c>
      <c r="U214">
        <f t="shared" si="10"/>
        <v>80918.765433135442</v>
      </c>
      <c r="V214">
        <v>2048894.1594954291</v>
      </c>
      <c r="W214">
        <v>1</v>
      </c>
      <c r="X214">
        <v>2853345.5442632209</v>
      </c>
      <c r="Y214">
        <v>4</v>
      </c>
      <c r="Z214">
        <f t="shared" si="11"/>
        <v>-3.2456625724935316E-3</v>
      </c>
    </row>
    <row r="215" spans="1:26" x14ac:dyDescent="0.3">
      <c r="A215">
        <v>20221025</v>
      </c>
      <c r="B215" s="5">
        <v>44859</v>
      </c>
      <c r="C215">
        <v>740425.94363830739</v>
      </c>
      <c r="D215">
        <v>999367.66389999096</v>
      </c>
      <c r="E215" s="5">
        <v>44859</v>
      </c>
      <c r="F215" s="4">
        <v>20221025</v>
      </c>
      <c r="G215" s="5"/>
      <c r="H215" s="4">
        <v>1621919.0223199981</v>
      </c>
      <c r="I215" s="4">
        <v>2040965.3473199799</v>
      </c>
      <c r="J215" s="4">
        <v>1592343.3111199981</v>
      </c>
      <c r="K215">
        <v>1778143.0460399999</v>
      </c>
      <c r="L215" s="4">
        <v>944363.29441999795</v>
      </c>
      <c r="M215" s="4">
        <v>934432.58057999588</v>
      </c>
      <c r="N215" s="4">
        <v>1043929.931979998</v>
      </c>
      <c r="O215" s="4">
        <v>1545213.3660599981</v>
      </c>
      <c r="P215" s="4">
        <v>2417603.82209998</v>
      </c>
      <c r="Q215">
        <v>3066697.6486800411</v>
      </c>
      <c r="R215">
        <v>2</v>
      </c>
      <c r="S215" s="4">
        <v>0</v>
      </c>
      <c r="T215">
        <f t="shared" si="9"/>
        <v>15919.221145865042</v>
      </c>
      <c r="U215">
        <f t="shared" si="10"/>
        <v>-15917.221145865042</v>
      </c>
      <c r="V215">
        <v>2046403.8568359243</v>
      </c>
      <c r="W215">
        <v>4</v>
      </c>
      <c r="X215">
        <v>2849878.1550942319</v>
      </c>
      <c r="Y215">
        <v>4</v>
      </c>
      <c r="Z215">
        <f t="shared" si="11"/>
        <v>-1.2152012839665544E-3</v>
      </c>
    </row>
    <row r="216" spans="1:26" x14ac:dyDescent="0.3">
      <c r="A216">
        <v>20221026</v>
      </c>
      <c r="B216" s="5">
        <v>44860</v>
      </c>
      <c r="C216">
        <v>735198.53647622094</v>
      </c>
      <c r="D216">
        <v>995909.98679998994</v>
      </c>
      <c r="E216" s="5">
        <v>44860</v>
      </c>
      <c r="F216" s="4">
        <v>20221026</v>
      </c>
      <c r="G216" s="5"/>
      <c r="H216" s="4">
        <v>1568058.225239998</v>
      </c>
      <c r="I216" s="4">
        <v>1981456.0849799979</v>
      </c>
      <c r="J216" s="4">
        <v>1512937.3468399979</v>
      </c>
      <c r="K216">
        <v>1685587.2817000002</v>
      </c>
      <c r="L216" s="4">
        <v>913066.12503999809</v>
      </c>
      <c r="M216" s="4">
        <v>904534.8749999979</v>
      </c>
      <c r="N216" s="4">
        <v>1010950.598899998</v>
      </c>
      <c r="O216" s="4">
        <v>1466243.0673599981</v>
      </c>
      <c r="P216" s="4">
        <v>2334197.07607998</v>
      </c>
      <c r="Q216">
        <v>2998572.3319378644</v>
      </c>
      <c r="R216">
        <v>2</v>
      </c>
      <c r="S216" s="4">
        <v>0</v>
      </c>
      <c r="T216">
        <f t="shared" si="9"/>
        <v>-68125.316742176656</v>
      </c>
      <c r="U216">
        <f t="shared" si="10"/>
        <v>68127.316742176656</v>
      </c>
      <c r="V216">
        <v>2002912.8941835039</v>
      </c>
      <c r="W216">
        <v>4</v>
      </c>
      <c r="X216">
        <v>2789311.6099280161</v>
      </c>
      <c r="Y216">
        <v>4</v>
      </c>
      <c r="Z216">
        <f t="shared" si="11"/>
        <v>-2.1252327948811274E-2</v>
      </c>
    </row>
    <row r="217" spans="1:26" x14ac:dyDescent="0.3">
      <c r="A217">
        <v>20221027</v>
      </c>
      <c r="B217" s="5">
        <v>44861</v>
      </c>
      <c r="C217">
        <v>717001.63749989797</v>
      </c>
      <c r="D217">
        <v>976461.48909999104</v>
      </c>
      <c r="E217" s="5">
        <v>44861</v>
      </c>
      <c r="F217" s="4">
        <v>20221027</v>
      </c>
      <c r="G217" s="5"/>
      <c r="H217" s="4">
        <v>1601068.098159998</v>
      </c>
      <c r="I217" s="4">
        <v>1981463.5179999981</v>
      </c>
      <c r="J217" s="4">
        <v>1485052.3223999981</v>
      </c>
      <c r="K217">
        <v>1699572.2766600002</v>
      </c>
      <c r="L217" s="4">
        <v>908177.52865999995</v>
      </c>
      <c r="M217" s="4">
        <v>899407.12424000003</v>
      </c>
      <c r="N217" s="4">
        <v>1004893.317959998</v>
      </c>
      <c r="O217" s="4">
        <v>1495310.7956799981</v>
      </c>
      <c r="P217" s="4">
        <v>2338225.4822199801</v>
      </c>
      <c r="Q217">
        <v>2895122.5687372121</v>
      </c>
      <c r="R217">
        <v>4</v>
      </c>
      <c r="S217" s="4">
        <v>0</v>
      </c>
      <c r="T217">
        <f t="shared" si="9"/>
        <v>-103449.76320065232</v>
      </c>
      <c r="U217">
        <f t="shared" si="10"/>
        <v>103453.76320065232</v>
      </c>
      <c r="V217">
        <v>1933812.8611223944</v>
      </c>
      <c r="W217">
        <v>4</v>
      </c>
      <c r="X217">
        <v>2693080.4301503305</v>
      </c>
      <c r="Y217">
        <v>4</v>
      </c>
      <c r="Z217">
        <f t="shared" si="11"/>
        <v>-3.449997463000163E-2</v>
      </c>
    </row>
    <row r="218" spans="1:26" x14ac:dyDescent="0.3">
      <c r="A218">
        <v>20221028</v>
      </c>
      <c r="B218" s="5">
        <v>44862</v>
      </c>
      <c r="C218">
        <v>710384.42938741134</v>
      </c>
      <c r="D218">
        <v>974151.42130000796</v>
      </c>
      <c r="E218" s="5">
        <v>44862</v>
      </c>
      <c r="F218" s="4">
        <v>20221028</v>
      </c>
      <c r="G218" s="5"/>
      <c r="H218" s="4">
        <v>1669977.6368999979</v>
      </c>
      <c r="I218" s="4">
        <v>2061973.9695199798</v>
      </c>
      <c r="J218" s="4">
        <v>1533975.8244199981</v>
      </c>
      <c r="K218">
        <v>1756342.1614999999</v>
      </c>
      <c r="L218" s="4">
        <v>932249.68397999997</v>
      </c>
      <c r="M218" s="4">
        <v>922130.53339999798</v>
      </c>
      <c r="N218" s="4">
        <v>1032652.155799998</v>
      </c>
      <c r="O218" s="4">
        <v>1555363.565539998</v>
      </c>
      <c r="P218" s="4">
        <v>2426780.9443599801</v>
      </c>
      <c r="Q218">
        <v>2900093.614937264</v>
      </c>
      <c r="R218">
        <v>4</v>
      </c>
      <c r="S218" s="4">
        <v>0</v>
      </c>
      <c r="T218">
        <f t="shared" si="9"/>
        <v>4971.0462000519037</v>
      </c>
      <c r="U218">
        <f t="shared" si="10"/>
        <v>-4967.0462000519037</v>
      </c>
      <c r="V218">
        <v>1966528.6732569665</v>
      </c>
      <c r="W218">
        <v>3</v>
      </c>
      <c r="X218">
        <v>2697705.5189096769</v>
      </c>
      <c r="Y218">
        <v>4</v>
      </c>
      <c r="Z218">
        <f t="shared" si="11"/>
        <v>1.7173971885749517E-3</v>
      </c>
    </row>
    <row r="219" spans="1:26" x14ac:dyDescent="0.3">
      <c r="A219">
        <v>20221031</v>
      </c>
      <c r="B219" s="5">
        <v>44865</v>
      </c>
      <c r="C219">
        <v>735776.4104314351</v>
      </c>
      <c r="D219">
        <v>983000.61800001306</v>
      </c>
      <c r="E219" s="5">
        <v>44865</v>
      </c>
      <c r="F219" s="4">
        <v>20221031</v>
      </c>
      <c r="G219" s="5"/>
      <c r="H219" s="4">
        <v>1749903.4728399981</v>
      </c>
      <c r="I219" s="4">
        <v>2172077.9835199798</v>
      </c>
      <c r="J219" s="4">
        <v>1540199.0175799981</v>
      </c>
      <c r="K219">
        <v>1817958.9377599999</v>
      </c>
      <c r="L219" s="4">
        <v>945894.92738000001</v>
      </c>
      <c r="M219" s="4">
        <v>933618.82862000004</v>
      </c>
      <c r="N219" s="4">
        <v>1047833.3341399981</v>
      </c>
      <c r="O219" s="4">
        <v>1631241.431759998</v>
      </c>
      <c r="P219" s="4">
        <v>2622774.2780399797</v>
      </c>
      <c r="Q219">
        <v>3010044.6286148462</v>
      </c>
      <c r="R219">
        <v>4</v>
      </c>
      <c r="S219" s="4">
        <v>0</v>
      </c>
      <c r="T219">
        <f t="shared" si="9"/>
        <v>109951.01367758214</v>
      </c>
      <c r="U219">
        <f t="shared" si="10"/>
        <v>-109947.01367758214</v>
      </c>
      <c r="V219">
        <v>2087831.9269286904</v>
      </c>
      <c r="W219">
        <v>1</v>
      </c>
      <c r="X219">
        <v>2745686.2624959936</v>
      </c>
      <c r="Y219">
        <v>3</v>
      </c>
      <c r="Z219">
        <f t="shared" si="11"/>
        <v>1.7785760250699612E-2</v>
      </c>
    </row>
    <row r="220" spans="1:26" x14ac:dyDescent="0.3">
      <c r="A220">
        <v>20221101</v>
      </c>
      <c r="B220" s="5">
        <v>44866</v>
      </c>
      <c r="C220">
        <v>744598.36959250795</v>
      </c>
      <c r="D220">
        <v>986513.90780001099</v>
      </c>
      <c r="E220" s="5">
        <v>44866</v>
      </c>
      <c r="F220" s="4">
        <v>20221101</v>
      </c>
      <c r="G220" s="5"/>
      <c r="H220" s="4">
        <v>1786967.270339998</v>
      </c>
      <c r="I220" s="4">
        <v>2171495.3645599801</v>
      </c>
      <c r="J220" s="4">
        <v>1546333.4852199978</v>
      </c>
      <c r="K220">
        <v>1800341.5197200018</v>
      </c>
      <c r="L220" s="4">
        <v>944258.03157999995</v>
      </c>
      <c r="M220" s="4">
        <v>932181.87677999795</v>
      </c>
      <c r="N220" s="4">
        <v>1046406.072119998</v>
      </c>
      <c r="O220" s="4">
        <v>1623941.421239998</v>
      </c>
      <c r="P220" s="4">
        <v>2602537.2928999802</v>
      </c>
      <c r="Q220">
        <v>3235752.8684782498</v>
      </c>
      <c r="R220">
        <v>3</v>
      </c>
      <c r="S220" s="4">
        <v>0</v>
      </c>
      <c r="T220">
        <f t="shared" si="9"/>
        <v>225708.23986340361</v>
      </c>
      <c r="U220">
        <f t="shared" si="10"/>
        <v>-225705.23986340361</v>
      </c>
      <c r="V220">
        <v>2219987.4901180319</v>
      </c>
      <c r="W220">
        <v>2</v>
      </c>
      <c r="X220">
        <v>2951570.4343689489</v>
      </c>
      <c r="Y220">
        <v>3</v>
      </c>
      <c r="Z220">
        <f t="shared" si="11"/>
        <v>7.4984594811569702E-2</v>
      </c>
    </row>
    <row r="221" spans="1:26" x14ac:dyDescent="0.3">
      <c r="A221">
        <v>20221102</v>
      </c>
      <c r="B221" s="5">
        <v>44867</v>
      </c>
      <c r="C221">
        <v>738531.38207706821</v>
      </c>
      <c r="D221">
        <v>984823.52740001201</v>
      </c>
      <c r="E221" s="5">
        <v>44867</v>
      </c>
      <c r="F221" s="4">
        <v>20221102</v>
      </c>
      <c r="G221" s="5"/>
      <c r="H221" s="4">
        <v>1858772.9254799981</v>
      </c>
      <c r="I221" s="4">
        <v>2239484.51131998</v>
      </c>
      <c r="J221" s="4">
        <v>1596530.970259998</v>
      </c>
      <c r="K221">
        <v>1844213.400820002</v>
      </c>
      <c r="L221" s="4">
        <v>970194.91896000004</v>
      </c>
      <c r="M221" s="4">
        <v>956732.26043999789</v>
      </c>
      <c r="N221" s="4">
        <v>1074857.1010599979</v>
      </c>
      <c r="O221" s="4">
        <v>1667910.409039998</v>
      </c>
      <c r="P221" s="4">
        <v>2705674.73397998</v>
      </c>
      <c r="Q221">
        <v>3235752.8684782498</v>
      </c>
      <c r="R221">
        <v>0</v>
      </c>
      <c r="S221" s="4">
        <v>0</v>
      </c>
      <c r="T221">
        <f t="shared" si="9"/>
        <v>0</v>
      </c>
      <c r="U221">
        <f t="shared" si="10"/>
        <v>0</v>
      </c>
      <c r="V221">
        <v>2225585.6374250092</v>
      </c>
      <c r="W221">
        <v>3</v>
      </c>
      <c r="X221">
        <v>2968118.0141145997</v>
      </c>
      <c r="Y221">
        <v>2</v>
      </c>
      <c r="Z221">
        <f t="shared" si="11"/>
        <v>5.6063645146210645E-3</v>
      </c>
    </row>
    <row r="222" spans="1:26" x14ac:dyDescent="0.3">
      <c r="A222">
        <v>20221103</v>
      </c>
      <c r="B222" s="5">
        <v>44868</v>
      </c>
      <c r="C222">
        <v>762668.06470611098</v>
      </c>
      <c r="D222">
        <v>1003930.62070001</v>
      </c>
      <c r="E222" s="5">
        <v>44868</v>
      </c>
      <c r="F222" s="4">
        <v>20221103</v>
      </c>
      <c r="G222" s="5"/>
      <c r="H222" s="4">
        <v>1843293.7462199978</v>
      </c>
      <c r="I222" s="4">
        <v>2234123.3708199798</v>
      </c>
      <c r="J222" s="4">
        <v>1587500.850179998</v>
      </c>
      <c r="K222">
        <v>1829392.9577000018</v>
      </c>
      <c r="L222" s="4">
        <v>966793.56403999997</v>
      </c>
      <c r="M222" s="4">
        <v>954078.24217999796</v>
      </c>
      <c r="N222" s="4">
        <v>1076007.843119998</v>
      </c>
      <c r="O222" s="4">
        <v>1649208.8787199981</v>
      </c>
      <c r="P222" s="4">
        <v>2746312.1197599797</v>
      </c>
      <c r="Q222">
        <v>3235752.8684782498</v>
      </c>
      <c r="R222">
        <v>0</v>
      </c>
      <c r="S222" s="4">
        <v>0</v>
      </c>
      <c r="T222">
        <f t="shared" si="9"/>
        <v>0</v>
      </c>
      <c r="U222">
        <f t="shared" si="10"/>
        <v>0</v>
      </c>
      <c r="V222">
        <v>2313824.0932320282</v>
      </c>
      <c r="W222">
        <v>4</v>
      </c>
      <c r="X222">
        <v>3121784.225476725</v>
      </c>
      <c r="Y222">
        <v>3</v>
      </c>
      <c r="Z222">
        <f t="shared" si="11"/>
        <v>5.1772271396009345E-2</v>
      </c>
    </row>
    <row r="223" spans="1:26" x14ac:dyDescent="0.3">
      <c r="A223">
        <v>20221104</v>
      </c>
      <c r="B223" s="5">
        <v>44869</v>
      </c>
      <c r="C223">
        <v>764300.17436458194</v>
      </c>
      <c r="D223">
        <v>1005416.69530001</v>
      </c>
      <c r="E223" s="5">
        <v>44869</v>
      </c>
      <c r="F223" s="4">
        <v>20221104</v>
      </c>
      <c r="G223" s="5"/>
      <c r="H223" s="4">
        <v>1836160.805539998</v>
      </c>
      <c r="I223" s="4">
        <v>2209014.9508199799</v>
      </c>
      <c r="J223" s="4">
        <v>1587220.840399998</v>
      </c>
      <c r="K223">
        <v>1814051.7769400019</v>
      </c>
      <c r="L223" s="4">
        <v>958144.72393999994</v>
      </c>
      <c r="M223" s="4">
        <v>945008.17247999797</v>
      </c>
      <c r="N223" s="4">
        <v>1065693.7499999979</v>
      </c>
      <c r="O223" s="4">
        <v>1609161.969099998</v>
      </c>
      <c r="P223" s="4">
        <v>2705628.9143399801</v>
      </c>
      <c r="Q223">
        <v>3254898.1349789863</v>
      </c>
      <c r="R223">
        <v>2</v>
      </c>
      <c r="S223" s="4">
        <v>0</v>
      </c>
      <c r="T223">
        <f t="shared" si="9"/>
        <v>19145.266500736587</v>
      </c>
      <c r="U223">
        <f t="shared" si="10"/>
        <v>-19143.266500736587</v>
      </c>
      <c r="V223">
        <v>2449480.6633900013</v>
      </c>
      <c r="W223">
        <v>1</v>
      </c>
      <c r="X223">
        <v>3198248.6294623706</v>
      </c>
      <c r="Y223">
        <v>3</v>
      </c>
      <c r="Z223">
        <f t="shared" si="11"/>
        <v>2.4493814582578592E-2</v>
      </c>
    </row>
    <row r="224" spans="1:26" x14ac:dyDescent="0.3">
      <c r="A224">
        <v>20221107</v>
      </c>
      <c r="B224" s="5">
        <v>44872</v>
      </c>
      <c r="C224">
        <v>759030.32466233824</v>
      </c>
      <c r="D224">
        <v>998790.73050001299</v>
      </c>
      <c r="E224" s="5">
        <v>44872</v>
      </c>
      <c r="F224" s="4">
        <v>20221107</v>
      </c>
      <c r="G224" s="5"/>
      <c r="H224" s="4">
        <v>1832904.645439998</v>
      </c>
      <c r="I224" s="4">
        <v>2182008.6542599802</v>
      </c>
      <c r="J224" s="4">
        <v>1551637.5885799979</v>
      </c>
      <c r="K224">
        <v>1816850.4749800018</v>
      </c>
      <c r="L224" s="4">
        <v>952174.88048000005</v>
      </c>
      <c r="M224" s="4">
        <v>936932.34209999791</v>
      </c>
      <c r="N224" s="4">
        <v>1055945.2556799981</v>
      </c>
      <c r="O224" s="4">
        <v>1610466.1620799978</v>
      </c>
      <c r="P224" s="4">
        <v>2695383.0104199802</v>
      </c>
      <c r="Q224">
        <v>3206655.8527135393</v>
      </c>
      <c r="R224">
        <v>4</v>
      </c>
      <c r="S224" s="4">
        <v>0</v>
      </c>
      <c r="T224">
        <f t="shared" si="9"/>
        <v>-48242.28226544708</v>
      </c>
      <c r="U224">
        <f t="shared" si="10"/>
        <v>48246.28226544708</v>
      </c>
      <c r="V224">
        <v>2464370.1151432609</v>
      </c>
      <c r="W224">
        <v>1</v>
      </c>
      <c r="X224">
        <v>3159421.1604006798</v>
      </c>
      <c r="Y224">
        <v>3</v>
      </c>
      <c r="Z224">
        <f t="shared" si="11"/>
        <v>-1.2140228468797247E-2</v>
      </c>
    </row>
    <row r="225" spans="1:26" x14ac:dyDescent="0.3">
      <c r="A225">
        <v>20221108</v>
      </c>
      <c r="B225" s="5">
        <v>44873</v>
      </c>
      <c r="C225">
        <v>751921.2466415508</v>
      </c>
      <c r="D225">
        <v>992734.032000012</v>
      </c>
      <c r="E225" s="5">
        <v>44873</v>
      </c>
      <c r="F225" s="4">
        <v>20221108</v>
      </c>
      <c r="G225" s="5"/>
      <c r="H225" s="4">
        <v>1768526.3091599979</v>
      </c>
      <c r="I225" s="4">
        <v>2151652.73293998</v>
      </c>
      <c r="J225" s="4">
        <v>1495523.9902999981</v>
      </c>
      <c r="K225">
        <v>1767413.709960002</v>
      </c>
      <c r="L225" s="4">
        <v>938992.91241999995</v>
      </c>
      <c r="M225" s="4">
        <v>922071.14681999793</v>
      </c>
      <c r="N225" s="4">
        <v>1038180.1313799979</v>
      </c>
      <c r="O225" s="4">
        <v>1587645.9144999981</v>
      </c>
      <c r="P225" s="4">
        <v>2659832.0703199799</v>
      </c>
      <c r="Q225">
        <v>3194509.4748148602</v>
      </c>
      <c r="R225">
        <v>4</v>
      </c>
      <c r="S225" s="4">
        <v>0</v>
      </c>
      <c r="T225">
        <f t="shared" si="9"/>
        <v>-12146.377898679115</v>
      </c>
      <c r="U225">
        <f t="shared" si="10"/>
        <v>12150.377898679115</v>
      </c>
      <c r="V225">
        <v>2455035.4115961073</v>
      </c>
      <c r="W225">
        <v>4</v>
      </c>
      <c r="X225">
        <v>3154540.3984595914</v>
      </c>
      <c r="Y225">
        <v>3</v>
      </c>
      <c r="Z225">
        <f t="shared" si="11"/>
        <v>-1.5448278951418373E-3</v>
      </c>
    </row>
    <row r="226" spans="1:26" x14ac:dyDescent="0.3">
      <c r="A226">
        <v>20221109</v>
      </c>
      <c r="B226" s="5">
        <v>44874</v>
      </c>
      <c r="C226">
        <v>746123.1819086977</v>
      </c>
      <c r="D226">
        <v>975405.08520001196</v>
      </c>
      <c r="E226" s="5">
        <v>44874</v>
      </c>
      <c r="F226" s="4">
        <v>20221109</v>
      </c>
      <c r="G226" s="5"/>
      <c r="H226" s="4">
        <v>1814658.2312199981</v>
      </c>
      <c r="I226" s="4">
        <v>2239100.2790199802</v>
      </c>
      <c r="J226" s="4">
        <v>1512654.025059998</v>
      </c>
      <c r="K226">
        <v>1816215.4493000018</v>
      </c>
      <c r="L226" s="4">
        <v>946419.85721999803</v>
      </c>
      <c r="M226" s="4">
        <v>922945.99549999798</v>
      </c>
      <c r="N226" s="4">
        <v>1054023.8193199979</v>
      </c>
      <c r="O226" s="4">
        <v>1594501.1570799979</v>
      </c>
      <c r="P226" s="4">
        <v>2671336.6983599802</v>
      </c>
      <c r="Q226">
        <v>3189872.0355687216</v>
      </c>
      <c r="R226">
        <v>2</v>
      </c>
      <c r="S226" s="4">
        <v>0</v>
      </c>
      <c r="T226">
        <f t="shared" si="9"/>
        <v>-4637.4392461385578</v>
      </c>
      <c r="U226">
        <f t="shared" si="10"/>
        <v>4639.4392461385578</v>
      </c>
      <c r="V226">
        <v>2451471.4534095866</v>
      </c>
      <c r="W226">
        <v>2</v>
      </c>
      <c r="X226">
        <v>3137995.975460168</v>
      </c>
      <c r="Y226">
        <v>3</v>
      </c>
      <c r="Z226">
        <f t="shared" si="11"/>
        <v>-5.2446381753431812E-3</v>
      </c>
    </row>
    <row r="227" spans="1:26" x14ac:dyDescent="0.3">
      <c r="A227">
        <v>20221110</v>
      </c>
      <c r="B227" s="5">
        <v>44875</v>
      </c>
      <c r="C227">
        <v>766911.66600303783</v>
      </c>
      <c r="D227">
        <v>985842.91520001204</v>
      </c>
      <c r="E227" s="5">
        <v>44875</v>
      </c>
      <c r="F227" s="4">
        <v>20221110</v>
      </c>
      <c r="G227" s="5"/>
      <c r="H227" s="4">
        <v>1758020.8399599981</v>
      </c>
      <c r="I227" s="4">
        <v>2262721.18395998</v>
      </c>
      <c r="J227" s="4">
        <v>1522053.022919998</v>
      </c>
      <c r="K227">
        <v>1771926.594440002</v>
      </c>
      <c r="L227" s="4">
        <v>928549.18817999994</v>
      </c>
      <c r="M227" s="4">
        <v>916503.32979999797</v>
      </c>
      <c r="N227" s="4">
        <v>1040677.8016599979</v>
      </c>
      <c r="O227" s="4">
        <v>1550673.6013599981</v>
      </c>
      <c r="P227" s="4">
        <v>2582404.9600599799</v>
      </c>
      <c r="Q227">
        <v>3189872.0355687216</v>
      </c>
      <c r="R227">
        <v>0</v>
      </c>
      <c r="S227" s="4">
        <v>0</v>
      </c>
      <c r="T227">
        <f t="shared" si="9"/>
        <v>0</v>
      </c>
      <c r="U227">
        <f t="shared" si="10"/>
        <v>0</v>
      </c>
      <c r="V227">
        <v>2541353.1915787463</v>
      </c>
      <c r="W227">
        <v>2</v>
      </c>
      <c r="X227">
        <v>3253048.3673575167</v>
      </c>
      <c r="Y227">
        <v>2</v>
      </c>
      <c r="Z227">
        <f t="shared" si="11"/>
        <v>3.6664289182358478E-2</v>
      </c>
    </row>
    <row r="228" spans="1:26" x14ac:dyDescent="0.3">
      <c r="A228">
        <v>20221111</v>
      </c>
      <c r="B228" s="5">
        <v>44876</v>
      </c>
      <c r="C228">
        <v>768028.28938873822</v>
      </c>
      <c r="D228">
        <v>977436.10550001205</v>
      </c>
      <c r="E228" s="5">
        <v>44876</v>
      </c>
      <c r="F228" s="4">
        <v>20221111</v>
      </c>
      <c r="G228" s="5"/>
      <c r="H228" s="4">
        <v>1800461.8809599981</v>
      </c>
      <c r="I228" s="4">
        <v>2384652.1107999803</v>
      </c>
      <c r="J228" s="4">
        <v>1557633.7303999981</v>
      </c>
      <c r="K228">
        <v>1780749.2379800021</v>
      </c>
      <c r="L228" s="4">
        <v>944390.15399999986</v>
      </c>
      <c r="M228" s="4">
        <v>930120.86781999806</v>
      </c>
      <c r="N228" s="4">
        <v>1056232.7809799979</v>
      </c>
      <c r="O228" s="4">
        <v>1582671.162679998</v>
      </c>
      <c r="P228" s="4">
        <v>2590439.2707799799</v>
      </c>
      <c r="Q228">
        <v>3096343.8926342856</v>
      </c>
      <c r="R228">
        <v>3</v>
      </c>
      <c r="S228" s="4">
        <v>0</v>
      </c>
      <c r="T228">
        <f t="shared" si="9"/>
        <v>-93528.142934435979</v>
      </c>
      <c r="U228">
        <f t="shared" si="10"/>
        <v>93531.142934435979</v>
      </c>
      <c r="V228">
        <v>2460655.6512203063</v>
      </c>
      <c r="W228">
        <v>2</v>
      </c>
      <c r="X228">
        <v>3149752.9829349988</v>
      </c>
      <c r="Y228">
        <v>2</v>
      </c>
      <c r="Z228">
        <f t="shared" si="11"/>
        <v>-3.1753411802611993E-2</v>
      </c>
    </row>
    <row r="229" spans="1:26" x14ac:dyDescent="0.3">
      <c r="A229">
        <v>20221114</v>
      </c>
      <c r="B229" s="5">
        <v>44879</v>
      </c>
      <c r="C229">
        <v>782582.42547265475</v>
      </c>
      <c r="D229">
        <v>990353.96310001204</v>
      </c>
      <c r="E229" s="5">
        <v>44879</v>
      </c>
      <c r="F229" s="4">
        <v>20221114</v>
      </c>
      <c r="G229" s="5"/>
      <c r="H229" s="4">
        <v>1750856.5316399981</v>
      </c>
      <c r="I229" s="4">
        <v>2324923.4819799801</v>
      </c>
      <c r="J229" s="4">
        <v>1592133.268699998</v>
      </c>
      <c r="K229">
        <v>1748071.1068800022</v>
      </c>
      <c r="L229" s="4">
        <v>944430.68046000006</v>
      </c>
      <c r="M229" s="4">
        <v>926761.25425999798</v>
      </c>
      <c r="N229" s="4">
        <v>1051440.1769799979</v>
      </c>
      <c r="O229" s="4">
        <v>1575833.1577199982</v>
      </c>
      <c r="P229" s="4">
        <v>2647158.47731998</v>
      </c>
      <c r="Q229">
        <v>3105981.2348828949</v>
      </c>
      <c r="R229">
        <v>4</v>
      </c>
      <c r="S229" s="4">
        <v>0</v>
      </c>
      <c r="T229">
        <f t="shared" si="9"/>
        <v>9637.3422486092895</v>
      </c>
      <c r="U229">
        <f t="shared" si="10"/>
        <v>-9633.3422486092895</v>
      </c>
      <c r="V229">
        <v>2513261.8551546251</v>
      </c>
      <c r="W229">
        <v>1</v>
      </c>
      <c r="X229">
        <v>3196519.0080571803</v>
      </c>
      <c r="Y229">
        <v>2</v>
      </c>
      <c r="Z229">
        <f t="shared" si="11"/>
        <v>1.4847521496306054E-2</v>
      </c>
    </row>
    <row r="230" spans="1:26" x14ac:dyDescent="0.3">
      <c r="A230">
        <v>20221115</v>
      </c>
      <c r="B230" s="5">
        <v>44880</v>
      </c>
      <c r="C230">
        <v>776176.98832016112</v>
      </c>
      <c r="D230">
        <v>983046.16520001204</v>
      </c>
      <c r="E230" s="5">
        <v>44880</v>
      </c>
      <c r="F230" s="4">
        <v>20221115</v>
      </c>
      <c r="G230" s="5"/>
      <c r="H230" s="4">
        <v>1727339.7629999979</v>
      </c>
      <c r="I230" s="4">
        <v>2413940.01871998</v>
      </c>
      <c r="J230" s="4">
        <v>1672864.885499998</v>
      </c>
      <c r="K230">
        <v>1780585.4308400019</v>
      </c>
      <c r="L230" s="4">
        <v>973164.49932000006</v>
      </c>
      <c r="M230" s="4">
        <v>941839.849739998</v>
      </c>
      <c r="N230" s="4">
        <v>1069809.9158799979</v>
      </c>
      <c r="O230" s="4">
        <v>1557424.1925199979</v>
      </c>
      <c r="P230" s="4">
        <v>2733126.9976999802</v>
      </c>
      <c r="Q230">
        <v>3174012.3825031156</v>
      </c>
      <c r="R230">
        <v>4</v>
      </c>
      <c r="S230" s="4">
        <v>0</v>
      </c>
      <c r="T230">
        <f t="shared" si="9"/>
        <v>68031.147620220669</v>
      </c>
      <c r="U230">
        <f t="shared" si="10"/>
        <v>-68027.147620220669</v>
      </c>
      <c r="V230">
        <v>2519831.3297755583</v>
      </c>
      <c r="W230">
        <v>1</v>
      </c>
      <c r="X230">
        <v>3357391.387119865</v>
      </c>
      <c r="Y230">
        <v>2</v>
      </c>
      <c r="Z230">
        <f t="shared" si="11"/>
        <v>5.0327365067183417E-2</v>
      </c>
    </row>
    <row r="231" spans="1:26" x14ac:dyDescent="0.3">
      <c r="A231">
        <v>20221116</v>
      </c>
      <c r="B231" s="5">
        <v>44881</v>
      </c>
      <c r="C231">
        <v>772981.46765924699</v>
      </c>
      <c r="D231">
        <v>995877.95210001199</v>
      </c>
      <c r="E231" s="5">
        <v>44881</v>
      </c>
      <c r="F231" s="4">
        <v>20221116</v>
      </c>
      <c r="G231" s="5"/>
      <c r="H231" s="4">
        <v>1689950.876759998</v>
      </c>
      <c r="I231" s="4">
        <v>2412244.8397599803</v>
      </c>
      <c r="J231" s="4">
        <v>1707308.9422799977</v>
      </c>
      <c r="K231">
        <v>1758855.123980002</v>
      </c>
      <c r="L231" s="4">
        <v>976088.26613999996</v>
      </c>
      <c r="M231" s="4">
        <v>942212.03389999794</v>
      </c>
      <c r="N231" s="4">
        <v>1067366.6083999979</v>
      </c>
      <c r="O231" s="4">
        <v>1569875.212459998</v>
      </c>
      <c r="P231" s="4">
        <v>2726644.5486399801</v>
      </c>
      <c r="Q231">
        <v>3328604.8476568754</v>
      </c>
      <c r="R231">
        <v>3</v>
      </c>
      <c r="S231" s="4">
        <v>0</v>
      </c>
      <c r="T231">
        <f t="shared" si="9"/>
        <v>154592.46515375981</v>
      </c>
      <c r="U231">
        <f t="shared" si="10"/>
        <v>-154589.46515375981</v>
      </c>
      <c r="V231">
        <v>2601719.6605261466</v>
      </c>
      <c r="W231">
        <v>4</v>
      </c>
      <c r="X231">
        <v>3437655.5036775628</v>
      </c>
      <c r="Y231">
        <v>2</v>
      </c>
      <c r="Z231">
        <f t="shared" si="11"/>
        <v>2.3906690434013493E-2</v>
      </c>
    </row>
    <row r="232" spans="1:26" x14ac:dyDescent="0.3">
      <c r="A232">
        <v>20221117</v>
      </c>
      <c r="B232" s="5">
        <v>44882</v>
      </c>
      <c r="C232">
        <v>769508.46192505409</v>
      </c>
      <c r="D232">
        <v>993088.67830001202</v>
      </c>
      <c r="E232" s="5">
        <v>44882</v>
      </c>
      <c r="F232" s="4">
        <v>20221117</v>
      </c>
      <c r="G232" s="5"/>
      <c r="H232" s="4">
        <v>1696695.4359399981</v>
      </c>
      <c r="I232" s="4">
        <v>2435791.9821199803</v>
      </c>
      <c r="J232" s="4">
        <v>1687686.9476799979</v>
      </c>
      <c r="K232">
        <v>1777578.2686600019</v>
      </c>
      <c r="L232" s="4">
        <v>977861.37699999998</v>
      </c>
      <c r="M232" s="4">
        <v>947207.66969999799</v>
      </c>
      <c r="N232" s="4">
        <v>1069167.403179998</v>
      </c>
      <c r="O232" s="4">
        <v>1588716.675559998</v>
      </c>
      <c r="P232" s="4">
        <v>2754329.4624799797</v>
      </c>
      <c r="Q232">
        <v>3328604.8476568754</v>
      </c>
      <c r="R232">
        <v>0</v>
      </c>
      <c r="S232" s="4">
        <v>0</v>
      </c>
      <c r="T232">
        <f t="shared" si="9"/>
        <v>0</v>
      </c>
      <c r="U232">
        <f t="shared" si="10"/>
        <v>0</v>
      </c>
      <c r="V232">
        <v>2595533.5569924568</v>
      </c>
      <c r="W232">
        <v>4</v>
      </c>
      <c r="X232">
        <v>3490598.6100524068</v>
      </c>
      <c r="Y232">
        <v>2</v>
      </c>
      <c r="Z232">
        <f t="shared" si="11"/>
        <v>1.5400934246670755E-2</v>
      </c>
    </row>
    <row r="233" spans="1:26" x14ac:dyDescent="0.3">
      <c r="A233">
        <v>20221118</v>
      </c>
      <c r="B233" s="5">
        <v>44883</v>
      </c>
      <c r="C233">
        <v>762929.16457559494</v>
      </c>
      <c r="D233">
        <v>994538.269800012</v>
      </c>
      <c r="E233" s="5">
        <v>44883</v>
      </c>
      <c r="F233" s="4">
        <v>20221118</v>
      </c>
      <c r="G233" s="5"/>
      <c r="H233" s="4">
        <v>1665366.2541599979</v>
      </c>
      <c r="I233" s="4">
        <v>2405002.4026799803</v>
      </c>
      <c r="J233" s="4">
        <v>1627368.0987599981</v>
      </c>
      <c r="K233">
        <v>1761459.8084400021</v>
      </c>
      <c r="L233" s="4">
        <v>953211.38729999994</v>
      </c>
      <c r="M233" s="4">
        <v>928758.55645999801</v>
      </c>
      <c r="N233" s="4">
        <v>1049446.0361999979</v>
      </c>
      <c r="O233" s="4">
        <v>1569216.584559998</v>
      </c>
      <c r="P233" s="4">
        <v>2740903.9835999804</v>
      </c>
      <c r="Q233">
        <v>3411762.5934604905</v>
      </c>
      <c r="R233">
        <v>1</v>
      </c>
      <c r="S233" s="4">
        <v>0</v>
      </c>
      <c r="T233">
        <f t="shared" si="9"/>
        <v>83157.745803615078</v>
      </c>
      <c r="U233">
        <f t="shared" si="10"/>
        <v>-83156.745803615078</v>
      </c>
      <c r="V233">
        <v>2635835.0561099546</v>
      </c>
      <c r="W233">
        <v>3</v>
      </c>
      <c r="X233">
        <v>3533935.3043402871</v>
      </c>
      <c r="Y233">
        <v>2</v>
      </c>
      <c r="Z233">
        <f t="shared" si="11"/>
        <v>1.2415261429107623E-2</v>
      </c>
    </row>
    <row r="234" spans="1:26" x14ac:dyDescent="0.3">
      <c r="A234">
        <v>20221121</v>
      </c>
      <c r="B234" s="5">
        <v>44886</v>
      </c>
      <c r="C234">
        <v>763006.9833503816</v>
      </c>
      <c r="D234">
        <v>977263.40020001202</v>
      </c>
      <c r="E234" s="5">
        <v>44886</v>
      </c>
      <c r="F234" s="4">
        <v>20221121</v>
      </c>
      <c r="G234" s="5"/>
      <c r="H234" s="4">
        <v>1642060.0330799981</v>
      </c>
      <c r="I234" s="4">
        <v>2381135.0965799801</v>
      </c>
      <c r="J234" s="4">
        <v>1614584.9728199979</v>
      </c>
      <c r="K234">
        <v>1765817.2444600021</v>
      </c>
      <c r="L234" s="4">
        <v>947430.02484000009</v>
      </c>
      <c r="M234" s="4">
        <v>922903.71083999798</v>
      </c>
      <c r="N234" s="4">
        <v>1044417.0969599981</v>
      </c>
      <c r="O234" s="4">
        <v>1585551.6803799979</v>
      </c>
      <c r="P234" s="4">
        <v>2727977.3739399798</v>
      </c>
      <c r="Q234">
        <v>3282755.6623707647</v>
      </c>
      <c r="R234">
        <v>1</v>
      </c>
      <c r="S234" s="4">
        <v>0</v>
      </c>
      <c r="T234">
        <f t="shared" si="9"/>
        <v>-129006.93108972581</v>
      </c>
      <c r="U234">
        <f t="shared" si="10"/>
        <v>129007.93108972581</v>
      </c>
      <c r="V234">
        <v>2536167.8383719972</v>
      </c>
      <c r="W234">
        <v>1</v>
      </c>
      <c r="X234">
        <v>3472945.3848952074</v>
      </c>
      <c r="Y234">
        <v>2</v>
      </c>
      <c r="Z234">
        <f t="shared" si="11"/>
        <v>-1.7258357664378724E-2</v>
      </c>
    </row>
    <row r="235" spans="1:26" x14ac:dyDescent="0.3">
      <c r="A235">
        <v>20221122</v>
      </c>
      <c r="B235" s="5">
        <v>44887</v>
      </c>
      <c r="C235">
        <v>763795.16956418264</v>
      </c>
      <c r="D235">
        <v>973646.93020001205</v>
      </c>
      <c r="E235" s="5">
        <v>44887</v>
      </c>
      <c r="F235" s="4">
        <v>20221122</v>
      </c>
      <c r="G235" s="5"/>
      <c r="H235" s="4">
        <v>1653442.073979998</v>
      </c>
      <c r="I235" s="4">
        <v>2394585.7834999799</v>
      </c>
      <c r="J235" s="4">
        <v>1651183.2720799982</v>
      </c>
      <c r="K235">
        <v>1744795.9645000019</v>
      </c>
      <c r="L235" s="4">
        <v>952281.76743999997</v>
      </c>
      <c r="M235" s="4">
        <v>923411.44655999797</v>
      </c>
      <c r="N235" s="4">
        <v>1044541.9830399981</v>
      </c>
      <c r="O235" s="4">
        <v>1612950.2999599981</v>
      </c>
      <c r="P235" s="4">
        <v>2763835.7991199801</v>
      </c>
      <c r="Q235">
        <v>3258579.8025355684</v>
      </c>
      <c r="R235">
        <v>1</v>
      </c>
      <c r="S235" s="4">
        <v>0</v>
      </c>
      <c r="T235">
        <f t="shared" si="9"/>
        <v>-24175.859835196286</v>
      </c>
      <c r="U235">
        <f t="shared" si="10"/>
        <v>24176.859835196286</v>
      </c>
      <c r="V235">
        <v>2517490.2278934601</v>
      </c>
      <c r="W235">
        <v>1</v>
      </c>
      <c r="X235">
        <v>3489870.9441841301</v>
      </c>
      <c r="Y235">
        <v>2</v>
      </c>
      <c r="Z235">
        <f t="shared" si="11"/>
        <v>4.8735460576306783E-3</v>
      </c>
    </row>
    <row r="236" spans="1:26" x14ac:dyDescent="0.3">
      <c r="A236">
        <v>20221123</v>
      </c>
      <c r="B236" s="5">
        <v>44888</v>
      </c>
      <c r="C236">
        <v>760398.57244513067</v>
      </c>
      <c r="D236">
        <v>974704.08450001199</v>
      </c>
      <c r="E236" s="5">
        <v>44888</v>
      </c>
      <c r="F236" s="4">
        <v>20221123</v>
      </c>
      <c r="G236" s="5"/>
      <c r="H236" s="4">
        <v>1631706.584159998</v>
      </c>
      <c r="I236" s="4">
        <v>2383271.7968399799</v>
      </c>
      <c r="J236" s="4">
        <v>1694956.122719998</v>
      </c>
      <c r="K236">
        <v>1709332.1383000021</v>
      </c>
      <c r="L236" s="4">
        <v>957254.90798000002</v>
      </c>
      <c r="M236" s="4">
        <v>930561.56593999802</v>
      </c>
      <c r="N236" s="4">
        <v>1039450.2133999979</v>
      </c>
      <c r="O236" s="4">
        <v>1588434.6591799981</v>
      </c>
      <c r="P236" s="4">
        <v>2725257.8272799803</v>
      </c>
      <c r="Q236">
        <v>3253366.075381822</v>
      </c>
      <c r="R236">
        <v>1</v>
      </c>
      <c r="S236" s="4">
        <v>0</v>
      </c>
      <c r="T236">
        <f t="shared" si="9"/>
        <v>-5213.7271537464112</v>
      </c>
      <c r="U236">
        <f t="shared" si="10"/>
        <v>5214.7271537464112</v>
      </c>
      <c r="V236">
        <v>2517490.2278934601</v>
      </c>
      <c r="W236">
        <v>0</v>
      </c>
      <c r="X236">
        <v>3621710.0509350668</v>
      </c>
      <c r="Y236">
        <v>2</v>
      </c>
      <c r="Z236">
        <f t="shared" si="11"/>
        <v>3.7777645322571766E-2</v>
      </c>
    </row>
    <row r="237" spans="1:26" x14ac:dyDescent="0.3">
      <c r="A237">
        <v>20221124</v>
      </c>
      <c r="B237" s="5">
        <v>44889</v>
      </c>
      <c r="C237">
        <v>764225.6584602471</v>
      </c>
      <c r="D237">
        <v>972120.70340001199</v>
      </c>
      <c r="E237" s="5">
        <v>44889</v>
      </c>
      <c r="F237" s="4">
        <v>20221124</v>
      </c>
      <c r="G237" s="5"/>
      <c r="H237" s="4">
        <v>1645614.030499998</v>
      </c>
      <c r="I237" s="4">
        <v>2421762.3719199798</v>
      </c>
      <c r="J237" s="4">
        <v>1703411.315719998</v>
      </c>
      <c r="K237">
        <v>1718925.3918200019</v>
      </c>
      <c r="L237" s="4">
        <v>965727.91980000003</v>
      </c>
      <c r="M237" s="4">
        <v>944001.47589999787</v>
      </c>
      <c r="N237" s="4">
        <v>1046341.606479998</v>
      </c>
      <c r="O237" s="4">
        <v>1587517.8850799981</v>
      </c>
      <c r="P237" s="4">
        <v>2723690.1135999798</v>
      </c>
      <c r="Q237">
        <v>3212170.233762457</v>
      </c>
      <c r="R237">
        <v>3</v>
      </c>
      <c r="S237" s="4">
        <v>0</v>
      </c>
      <c r="T237">
        <f t="shared" si="9"/>
        <v>-41195.841619364917</v>
      </c>
      <c r="U237">
        <f t="shared" si="10"/>
        <v>41198.841619364917</v>
      </c>
      <c r="V237">
        <v>2482333.7158671343</v>
      </c>
      <c r="W237">
        <v>4</v>
      </c>
      <c r="X237">
        <v>3581005.538747116</v>
      </c>
      <c r="Y237">
        <v>2</v>
      </c>
      <c r="Z237">
        <f t="shared" si="11"/>
        <v>-1.1239031180157984E-2</v>
      </c>
    </row>
    <row r="238" spans="1:26" x14ac:dyDescent="0.3">
      <c r="A238">
        <v>20221125</v>
      </c>
      <c r="B238" s="5">
        <v>44890</v>
      </c>
      <c r="C238">
        <v>755604.42880715686</v>
      </c>
      <c r="D238">
        <v>977818.82420001202</v>
      </c>
      <c r="E238" s="5">
        <v>44890</v>
      </c>
      <c r="F238" s="4">
        <v>20221125</v>
      </c>
      <c r="G238" s="5"/>
      <c r="H238" s="4">
        <v>1647412.8152799981</v>
      </c>
      <c r="I238" s="4">
        <v>2414025.3631799798</v>
      </c>
      <c r="J238" s="4">
        <v>1696564.4352799982</v>
      </c>
      <c r="K238">
        <v>1720733.1085200019</v>
      </c>
      <c r="L238" s="4">
        <v>976361.85505999997</v>
      </c>
      <c r="M238" s="4">
        <v>956118.89317999803</v>
      </c>
      <c r="N238" s="4">
        <v>1059698.0368399979</v>
      </c>
      <c r="O238" s="4">
        <v>1593663.546119998</v>
      </c>
      <c r="P238" s="4">
        <v>2734230.76913998</v>
      </c>
      <c r="Q238">
        <v>3215188.5068234946</v>
      </c>
      <c r="R238">
        <v>3</v>
      </c>
      <c r="S238" s="4">
        <v>0</v>
      </c>
      <c r="T238">
        <f t="shared" si="9"/>
        <v>3018.2730610375293</v>
      </c>
      <c r="U238">
        <f t="shared" si="10"/>
        <v>-3015.2730610375293</v>
      </c>
      <c r="V238">
        <v>2480903.971882659</v>
      </c>
      <c r="W238">
        <v>4</v>
      </c>
      <c r="X238">
        <v>3612446.1246739761</v>
      </c>
      <c r="Y238">
        <v>2</v>
      </c>
      <c r="Z238">
        <f t="shared" si="11"/>
        <v>8.7798205243380337E-3</v>
      </c>
    </row>
    <row r="239" spans="1:26" x14ac:dyDescent="0.3">
      <c r="A239">
        <v>20221128</v>
      </c>
      <c r="B239" s="5">
        <v>44893</v>
      </c>
      <c r="C239">
        <v>778905.00257828319</v>
      </c>
      <c r="D239">
        <v>983809.36130001198</v>
      </c>
      <c r="E239" s="5">
        <v>44893</v>
      </c>
      <c r="F239" s="4">
        <v>20221128</v>
      </c>
      <c r="G239" s="5"/>
      <c r="H239" s="4">
        <v>1649954.8191599981</v>
      </c>
      <c r="I239" s="4">
        <v>2418232.8985999799</v>
      </c>
      <c r="J239" s="4">
        <v>1632779.576979998</v>
      </c>
      <c r="K239">
        <v>1748047.0722800021</v>
      </c>
      <c r="L239" s="4">
        <v>973307.87601999997</v>
      </c>
      <c r="M239" s="4">
        <v>950409.819239998</v>
      </c>
      <c r="N239" s="4">
        <v>1059093.626199998</v>
      </c>
      <c r="O239" s="4">
        <v>1623960.7093599981</v>
      </c>
      <c r="P239" s="4">
        <v>2748805.3898199801</v>
      </c>
      <c r="Q239">
        <v>3227610.8352184724</v>
      </c>
      <c r="R239">
        <v>4</v>
      </c>
      <c r="S239" s="4">
        <v>0</v>
      </c>
      <c r="T239">
        <f t="shared" si="9"/>
        <v>12422.328394977842</v>
      </c>
      <c r="U239">
        <f t="shared" si="10"/>
        <v>-12418.328394977842</v>
      </c>
      <c r="V239">
        <v>2516155.335162872</v>
      </c>
      <c r="W239">
        <v>3</v>
      </c>
      <c r="X239">
        <v>3630483.2497257129</v>
      </c>
      <c r="Y239">
        <v>2</v>
      </c>
      <c r="Z239">
        <f t="shared" si="11"/>
        <v>4.9930502571480387E-3</v>
      </c>
    </row>
    <row r="240" spans="1:26" x14ac:dyDescent="0.3">
      <c r="A240">
        <v>20221129</v>
      </c>
      <c r="B240" s="5">
        <v>44894</v>
      </c>
      <c r="C240">
        <v>779826.44719633332</v>
      </c>
      <c r="D240">
        <v>986672.08040001197</v>
      </c>
      <c r="E240" s="5">
        <v>44894</v>
      </c>
      <c r="F240" s="4">
        <v>20221129</v>
      </c>
      <c r="G240" s="5"/>
      <c r="H240" s="4">
        <v>1686294.174579998</v>
      </c>
      <c r="I240" s="4">
        <v>2457708.3171399799</v>
      </c>
      <c r="J240" s="4">
        <v>1612289.9732399979</v>
      </c>
      <c r="K240">
        <v>1752559.5678200021</v>
      </c>
      <c r="L240" s="4">
        <v>976762.85108000005</v>
      </c>
      <c r="M240" s="4">
        <v>954218.41225999803</v>
      </c>
      <c r="N240" s="4">
        <v>1064935.470499998</v>
      </c>
      <c r="O240" s="4">
        <v>1656324.0686999981</v>
      </c>
      <c r="P240" s="4">
        <v>2764544.6361799799</v>
      </c>
      <c r="Q240">
        <v>3244821.41730033</v>
      </c>
      <c r="R240">
        <v>4</v>
      </c>
      <c r="S240" s="4">
        <v>0</v>
      </c>
      <c r="T240">
        <f t="shared" si="9"/>
        <v>17210.582081857603</v>
      </c>
      <c r="U240">
        <f t="shared" si="10"/>
        <v>-17206.582081857603</v>
      </c>
      <c r="V240">
        <v>2577569.1771411519</v>
      </c>
      <c r="W240">
        <v>1</v>
      </c>
      <c r="X240">
        <v>3719095.3719473896</v>
      </c>
      <c r="Y240">
        <v>1</v>
      </c>
      <c r="Z240">
        <f t="shared" si="11"/>
        <v>2.4407803624592231E-2</v>
      </c>
    </row>
    <row r="241" spans="1:26" x14ac:dyDescent="0.3">
      <c r="A241">
        <v>20221130</v>
      </c>
      <c r="B241" s="5">
        <v>44895</v>
      </c>
      <c r="C241">
        <v>788260.27022276167</v>
      </c>
      <c r="D241">
        <v>993280.68290001201</v>
      </c>
      <c r="E241" s="5">
        <v>44895</v>
      </c>
      <c r="F241" s="4">
        <v>20221130</v>
      </c>
      <c r="G241" s="5"/>
      <c r="H241" s="4">
        <v>1677689.915459998</v>
      </c>
      <c r="I241" s="4">
        <v>2414806.58115998</v>
      </c>
      <c r="J241" s="4">
        <v>1615058.987319998</v>
      </c>
      <c r="K241">
        <v>1762552.5331200019</v>
      </c>
      <c r="L241" s="4">
        <v>974170.21882000007</v>
      </c>
      <c r="M241" s="4">
        <v>952882.25469999795</v>
      </c>
      <c r="N241" s="4">
        <v>1067106.8611399981</v>
      </c>
      <c r="O241" s="4">
        <v>1665758.979519998</v>
      </c>
      <c r="P241" s="4">
        <v>2798994.0529799801</v>
      </c>
      <c r="Q241">
        <v>3310773.5506120808</v>
      </c>
      <c r="R241">
        <v>1</v>
      </c>
      <c r="S241" s="4">
        <v>0</v>
      </c>
      <c r="T241">
        <f t="shared" si="9"/>
        <v>65952.133311750833</v>
      </c>
      <c r="U241">
        <f t="shared" si="10"/>
        <v>-65951.133311750833</v>
      </c>
      <c r="V241">
        <v>2629959.1830717791</v>
      </c>
      <c r="W241">
        <v>1</v>
      </c>
      <c r="X241">
        <v>3787854.5235862611</v>
      </c>
      <c r="Y241">
        <v>2</v>
      </c>
      <c r="Z241">
        <f t="shared" si="11"/>
        <v>1.8488138851590653E-2</v>
      </c>
    </row>
    <row r="242" spans="1:26" x14ac:dyDescent="0.3">
      <c r="A242">
        <v>20221201</v>
      </c>
      <c r="B242" s="5">
        <v>44896</v>
      </c>
      <c r="C242">
        <v>783426.65824575571</v>
      </c>
      <c r="D242">
        <v>990850.79480001202</v>
      </c>
      <c r="E242" s="5">
        <v>44896</v>
      </c>
      <c r="F242" s="4">
        <v>20221201</v>
      </c>
      <c r="G242" s="5"/>
      <c r="H242" s="4">
        <v>1704942.2347399979</v>
      </c>
      <c r="I242" s="4">
        <v>2445959.6910599801</v>
      </c>
      <c r="J242" s="4">
        <v>1625503.463019998</v>
      </c>
      <c r="K242">
        <v>1771070.5504200018</v>
      </c>
      <c r="L242" s="4">
        <v>978882.78321999998</v>
      </c>
      <c r="M242" s="4">
        <v>955971.5124399981</v>
      </c>
      <c r="N242" s="4">
        <v>1073227.2005799981</v>
      </c>
      <c r="O242" s="4">
        <v>1693543.221599998</v>
      </c>
      <c r="P242" s="4">
        <v>2856336.1607999802</v>
      </c>
      <c r="Q242">
        <v>3333261.7703134432</v>
      </c>
      <c r="R242">
        <v>1</v>
      </c>
      <c r="S242" s="4">
        <v>0</v>
      </c>
      <c r="T242">
        <f t="shared" si="9"/>
        <v>22488.219701362308</v>
      </c>
      <c r="U242">
        <f t="shared" si="10"/>
        <v>-22487.219701362308</v>
      </c>
      <c r="V242">
        <v>2629959.1830717791</v>
      </c>
      <c r="W242">
        <v>0</v>
      </c>
      <c r="X242">
        <v>3811257.0651813252</v>
      </c>
      <c r="Y242">
        <v>2</v>
      </c>
      <c r="Z242">
        <f t="shared" si="11"/>
        <v>6.1783105579532836E-3</v>
      </c>
    </row>
    <row r="243" spans="1:26" x14ac:dyDescent="0.3">
      <c r="A243">
        <v>20221202</v>
      </c>
      <c r="B243" s="5">
        <v>44897</v>
      </c>
      <c r="C243">
        <v>798781.03732071421</v>
      </c>
      <c r="D243">
        <v>994010.742800012</v>
      </c>
      <c r="E243" s="5">
        <v>44897</v>
      </c>
      <c r="F243" s="4">
        <v>20221202</v>
      </c>
      <c r="G243" s="5"/>
      <c r="H243" s="4">
        <v>1712064.1809799981</v>
      </c>
      <c r="I243" s="4">
        <v>2471741.0578799797</v>
      </c>
      <c r="J243" s="4">
        <v>1624730.184699998</v>
      </c>
      <c r="K243">
        <v>1766257.0869000021</v>
      </c>
      <c r="L243" s="4">
        <v>987878.28526000003</v>
      </c>
      <c r="M243" s="4">
        <v>966180.00957999809</v>
      </c>
      <c r="N243" s="4">
        <v>1081683.358559998</v>
      </c>
      <c r="O243" s="4">
        <v>1705865.645679998</v>
      </c>
      <c r="P243" s="4">
        <v>2853109.7932199799</v>
      </c>
      <c r="Q243">
        <v>3516986.2773548216</v>
      </c>
      <c r="R243">
        <v>1</v>
      </c>
      <c r="S243" s="4">
        <v>0</v>
      </c>
      <c r="T243">
        <f t="shared" si="9"/>
        <v>183724.50704137841</v>
      </c>
      <c r="U243">
        <f t="shared" si="10"/>
        <v>-183723.50704137841</v>
      </c>
      <c r="V243">
        <v>2683871.695827621</v>
      </c>
      <c r="W243">
        <v>4</v>
      </c>
      <c r="X243">
        <v>3811257.0651813252</v>
      </c>
      <c r="Y243">
        <v>0</v>
      </c>
      <c r="Z243">
        <f t="shared" si="11"/>
        <v>0</v>
      </c>
    </row>
    <row r="244" spans="1:26" x14ac:dyDescent="0.3">
      <c r="A244">
        <v>20221205</v>
      </c>
      <c r="B244" s="5">
        <v>44900</v>
      </c>
      <c r="C244">
        <v>803083.27198772365</v>
      </c>
      <c r="D244">
        <v>1000154.90980001</v>
      </c>
      <c r="E244" s="5">
        <v>44900</v>
      </c>
      <c r="F244" s="4">
        <v>20221205</v>
      </c>
      <c r="G244" s="5"/>
      <c r="H244" s="4">
        <v>1716341.0500599979</v>
      </c>
      <c r="I244" s="4">
        <v>2479146.7769399798</v>
      </c>
      <c r="J244" s="4">
        <v>1628786.7163599979</v>
      </c>
      <c r="K244">
        <v>1764798.1817000019</v>
      </c>
      <c r="L244" s="4">
        <v>990120.08366</v>
      </c>
      <c r="M244" s="4">
        <v>968770.33047999791</v>
      </c>
      <c r="N244" s="4">
        <v>1080908.2123799981</v>
      </c>
      <c r="O244" s="4">
        <v>1711468.3660599981</v>
      </c>
      <c r="P244" s="4">
        <v>2850759.2793799797</v>
      </c>
      <c r="Q244">
        <v>3491898.2148906556</v>
      </c>
      <c r="R244">
        <v>3</v>
      </c>
      <c r="S244" s="4">
        <v>0</v>
      </c>
      <c r="T244">
        <f t="shared" si="9"/>
        <v>-25088.062464165967</v>
      </c>
      <c r="U244">
        <f t="shared" si="10"/>
        <v>25091.062464165967</v>
      </c>
      <c r="V244">
        <v>2680848.4532234608</v>
      </c>
      <c r="W244">
        <v>4</v>
      </c>
      <c r="X244">
        <v>3811257.0651813252</v>
      </c>
      <c r="Y244">
        <v>0</v>
      </c>
      <c r="Z244">
        <f t="shared" si="11"/>
        <v>0</v>
      </c>
    </row>
    <row r="245" spans="1:26" x14ac:dyDescent="0.3">
      <c r="A245">
        <v>20221206</v>
      </c>
      <c r="B245" s="5">
        <v>44901</v>
      </c>
      <c r="C245">
        <v>801095.64088955405</v>
      </c>
      <c r="D245">
        <v>998884.68470001197</v>
      </c>
      <c r="E245" s="5">
        <v>44901</v>
      </c>
      <c r="F245" s="4">
        <v>20221206</v>
      </c>
      <c r="G245" s="5"/>
      <c r="H245" s="4">
        <v>1745505.067219998</v>
      </c>
      <c r="I245" s="4">
        <v>2518106.9566799803</v>
      </c>
      <c r="J245" s="4">
        <v>1635383.838599998</v>
      </c>
      <c r="K245">
        <v>1766401.5608600019</v>
      </c>
      <c r="L245" s="4">
        <v>995024.90327999997</v>
      </c>
      <c r="M245" s="4">
        <v>971768.4934399979</v>
      </c>
      <c r="N245" s="4">
        <v>1087070.9146799981</v>
      </c>
      <c r="O245" s="4">
        <v>1706595.8214799981</v>
      </c>
      <c r="P245" s="4">
        <v>2871029.1085199798</v>
      </c>
      <c r="Q245">
        <v>3465415.5325913411</v>
      </c>
      <c r="R245">
        <v>3</v>
      </c>
      <c r="S245" s="4">
        <v>0</v>
      </c>
      <c r="T245">
        <f t="shared" si="9"/>
        <v>-26482.682299314532</v>
      </c>
      <c r="U245">
        <f t="shared" si="10"/>
        <v>26485.682299314532</v>
      </c>
      <c r="V245">
        <v>2660516.8181763324</v>
      </c>
      <c r="W245">
        <v>3</v>
      </c>
      <c r="X245">
        <v>3811257.0651813252</v>
      </c>
      <c r="Y245">
        <v>0</v>
      </c>
      <c r="Z245">
        <f t="shared" si="11"/>
        <v>0</v>
      </c>
    </row>
    <row r="246" spans="1:26" x14ac:dyDescent="0.3">
      <c r="A246">
        <v>20221207</v>
      </c>
      <c r="B246" s="5">
        <v>44902</v>
      </c>
      <c r="C246">
        <v>801232.62824414624</v>
      </c>
      <c r="D246">
        <v>1005001.01110001</v>
      </c>
      <c r="E246" s="5">
        <v>44902</v>
      </c>
      <c r="F246" s="4">
        <v>20221207</v>
      </c>
      <c r="G246" s="5"/>
      <c r="H246" s="4">
        <v>1723749.3949599981</v>
      </c>
      <c r="I246" s="4">
        <v>2494934.6059599798</v>
      </c>
      <c r="J246" s="4">
        <v>1611679.5723199979</v>
      </c>
      <c r="K246">
        <v>1780283.7506800019</v>
      </c>
      <c r="L246" s="4">
        <v>993560.39389999991</v>
      </c>
      <c r="M246" s="4">
        <v>966757.82853999804</v>
      </c>
      <c r="N246" s="4">
        <v>1079949.612899998</v>
      </c>
      <c r="O246" s="4">
        <v>1701475.0805399981</v>
      </c>
      <c r="P246" s="4">
        <v>2856104.09019998</v>
      </c>
      <c r="Q246">
        <v>3476496.4818060105</v>
      </c>
      <c r="R246">
        <v>3</v>
      </c>
      <c r="S246" s="4">
        <v>0</v>
      </c>
      <c r="T246">
        <f t="shared" si="9"/>
        <v>11080.94921466941</v>
      </c>
      <c r="U246">
        <f t="shared" si="10"/>
        <v>-11077.94921466941</v>
      </c>
      <c r="V246">
        <v>2669024.031289361</v>
      </c>
      <c r="W246">
        <v>3</v>
      </c>
      <c r="X246">
        <v>3811257.0651813252</v>
      </c>
      <c r="Y246">
        <v>0</v>
      </c>
      <c r="Z246">
        <f t="shared" si="11"/>
        <v>0</v>
      </c>
    </row>
    <row r="247" spans="1:26" x14ac:dyDescent="0.3">
      <c r="A247">
        <v>20221208</v>
      </c>
      <c r="B247" s="5">
        <v>44903</v>
      </c>
      <c r="C247">
        <v>809125.57086497929</v>
      </c>
      <c r="D247">
        <v>1002393.72710001</v>
      </c>
      <c r="E247" s="5">
        <v>44903</v>
      </c>
      <c r="F247" s="4">
        <v>20221208</v>
      </c>
      <c r="G247" s="5"/>
      <c r="H247" s="4">
        <v>1691915.0228399981</v>
      </c>
      <c r="I247" s="4">
        <v>2474475.7764999801</v>
      </c>
      <c r="J247" s="4">
        <v>1617297.424879998</v>
      </c>
      <c r="K247">
        <v>1780681.4625200019</v>
      </c>
      <c r="L247" s="4">
        <v>981653.3677200001</v>
      </c>
      <c r="M247" s="4">
        <v>957010.97619999794</v>
      </c>
      <c r="N247" s="4">
        <v>1067207.4137999979</v>
      </c>
      <c r="O247" s="4">
        <v>1714996.9442999982</v>
      </c>
      <c r="P247" s="4">
        <v>2810084.2165199802</v>
      </c>
      <c r="Q247">
        <v>3436660.6849312219</v>
      </c>
      <c r="R247">
        <v>3</v>
      </c>
      <c r="S247" s="4">
        <v>0</v>
      </c>
      <c r="T247">
        <f t="shared" si="9"/>
        <v>-39835.79687478859</v>
      </c>
      <c r="U247">
        <f t="shared" si="10"/>
        <v>39838.79687478859</v>
      </c>
      <c r="V247">
        <v>2638440.7204746818</v>
      </c>
      <c r="W247">
        <v>3</v>
      </c>
      <c r="X247">
        <v>3811257.0651813252</v>
      </c>
      <c r="Y247">
        <v>0</v>
      </c>
      <c r="Z247">
        <f t="shared" si="11"/>
        <v>0</v>
      </c>
    </row>
    <row r="248" spans="1:26" x14ac:dyDescent="0.3">
      <c r="A248">
        <v>20221209</v>
      </c>
      <c r="B248" s="5">
        <v>44904</v>
      </c>
      <c r="C248">
        <v>800046.3728343033</v>
      </c>
      <c r="D248">
        <v>989804.67090001202</v>
      </c>
      <c r="E248" s="5">
        <v>44904</v>
      </c>
      <c r="F248" s="4">
        <v>20221209</v>
      </c>
      <c r="G248" s="5"/>
      <c r="H248" s="4">
        <v>1672141.9203999978</v>
      </c>
      <c r="I248" s="4">
        <v>2446593.5867399802</v>
      </c>
      <c r="J248" s="4">
        <v>1598397.253339998</v>
      </c>
      <c r="K248">
        <v>1768745.0980400019</v>
      </c>
      <c r="L248" s="4">
        <v>975425.87594000006</v>
      </c>
      <c r="M248" s="4">
        <v>948336.31057999993</v>
      </c>
      <c r="N248" s="4">
        <v>1060516.784719998</v>
      </c>
      <c r="O248" s="4">
        <v>1705636.4898999981</v>
      </c>
      <c r="P248" s="4">
        <v>2802184.7595599801</v>
      </c>
      <c r="Q248">
        <v>3307701.903677193</v>
      </c>
      <c r="R248">
        <v>1</v>
      </c>
      <c r="S248" s="4">
        <v>0</v>
      </c>
      <c r="T248">
        <f t="shared" si="9"/>
        <v>-128958.7812540289</v>
      </c>
      <c r="U248">
        <f t="shared" si="10"/>
        <v>128959.7812540289</v>
      </c>
      <c r="V248">
        <v>2607808.3730899035</v>
      </c>
      <c r="W248">
        <v>3</v>
      </c>
      <c r="X248">
        <v>3811257.0651813252</v>
      </c>
      <c r="Y248">
        <v>0</v>
      </c>
      <c r="Z248">
        <f t="shared" si="11"/>
        <v>0</v>
      </c>
    </row>
    <row r="249" spans="1:26" x14ac:dyDescent="0.3">
      <c r="A249">
        <v>20221212</v>
      </c>
      <c r="B249" s="5">
        <v>44907</v>
      </c>
      <c r="C249">
        <v>798463.08106246428</v>
      </c>
      <c r="D249">
        <v>984246.94080001197</v>
      </c>
      <c r="E249" s="5">
        <v>44907</v>
      </c>
      <c r="F249" s="4">
        <v>20221212</v>
      </c>
      <c r="G249" s="5"/>
      <c r="H249" s="4">
        <v>1698220.999619998</v>
      </c>
      <c r="I249" s="4">
        <v>2484785.4980599796</v>
      </c>
      <c r="J249" s="4">
        <v>1626230.4654999981</v>
      </c>
      <c r="K249">
        <v>1785178.2365800019</v>
      </c>
      <c r="L249" s="4">
        <v>984743.67241999996</v>
      </c>
      <c r="M249" s="4">
        <v>955545.57305999997</v>
      </c>
      <c r="N249" s="4">
        <v>1069365.483659998</v>
      </c>
      <c r="O249" s="4">
        <v>1728117.9859599981</v>
      </c>
      <c r="P249" s="4">
        <v>2807466.4522799803</v>
      </c>
      <c r="Q249">
        <v>3307701.903677193</v>
      </c>
      <c r="R249">
        <v>0</v>
      </c>
      <c r="S249" s="4">
        <v>0</v>
      </c>
      <c r="T249">
        <f t="shared" si="9"/>
        <v>0</v>
      </c>
      <c r="U249">
        <f t="shared" si="10"/>
        <v>0</v>
      </c>
      <c r="V249">
        <v>2600472.9674504548</v>
      </c>
      <c r="W249">
        <v>4</v>
      </c>
      <c r="X249">
        <v>3811257.0651813252</v>
      </c>
      <c r="Y249">
        <v>0</v>
      </c>
      <c r="Z249">
        <f t="shared" si="11"/>
        <v>0</v>
      </c>
    </row>
    <row r="250" spans="1:26" x14ac:dyDescent="0.3">
      <c r="A250">
        <v>20221213</v>
      </c>
      <c r="B250" s="5">
        <v>44908</v>
      </c>
      <c r="C250">
        <v>800313.12002128595</v>
      </c>
      <c r="D250">
        <v>993519.77910001203</v>
      </c>
      <c r="E250" s="5">
        <v>44908</v>
      </c>
      <c r="F250" s="4">
        <v>20221213</v>
      </c>
      <c r="G250" s="5"/>
      <c r="H250" s="4">
        <v>1685394.1328999982</v>
      </c>
      <c r="I250" s="4">
        <v>2415351.8425999801</v>
      </c>
      <c r="J250" s="4">
        <v>1629673.293499998</v>
      </c>
      <c r="K250">
        <v>1770236.1644200019</v>
      </c>
      <c r="L250" s="4">
        <v>982667.96642000007</v>
      </c>
      <c r="M250" s="4">
        <v>953500.65645999997</v>
      </c>
      <c r="N250" s="4">
        <v>1067099.2600199981</v>
      </c>
      <c r="O250" s="4">
        <v>1726165.2842999981</v>
      </c>
      <c r="P250" s="4">
        <v>2838509.6138799801</v>
      </c>
      <c r="Q250">
        <v>3328086.9974820511</v>
      </c>
      <c r="R250">
        <v>2</v>
      </c>
      <c r="S250" s="4">
        <v>0</v>
      </c>
      <c r="T250">
        <f t="shared" si="9"/>
        <v>20385.093804858159</v>
      </c>
      <c r="U250">
        <f t="shared" si="10"/>
        <v>-20383.093804858159</v>
      </c>
      <c r="V250">
        <v>2605379.0268821791</v>
      </c>
      <c r="W250">
        <v>4</v>
      </c>
      <c r="X250">
        <v>3811257.0651813252</v>
      </c>
      <c r="Y250">
        <v>0</v>
      </c>
      <c r="Z250">
        <f t="shared" si="11"/>
        <v>0</v>
      </c>
    </row>
    <row r="251" spans="1:26" x14ac:dyDescent="0.3">
      <c r="A251">
        <v>20221214</v>
      </c>
      <c r="B251" s="5">
        <v>44909</v>
      </c>
      <c r="C251">
        <v>799713.68549439008</v>
      </c>
      <c r="D251">
        <v>987648.21120001201</v>
      </c>
      <c r="E251" s="5">
        <v>44909</v>
      </c>
      <c r="F251" s="4">
        <v>20221214</v>
      </c>
      <c r="G251" s="5"/>
      <c r="H251" s="4">
        <v>1662044.5160799981</v>
      </c>
      <c r="I251" s="4">
        <v>2362050.3803399801</v>
      </c>
      <c r="J251" s="4">
        <v>1598838.2822599979</v>
      </c>
      <c r="K251">
        <v>1738886.6523000021</v>
      </c>
      <c r="L251" s="4">
        <v>966744.33161999995</v>
      </c>
      <c r="M251" s="4">
        <v>937394.15637999796</v>
      </c>
      <c r="N251" s="4">
        <v>1041182.8791999981</v>
      </c>
      <c r="O251" s="4">
        <v>1715593.9612799981</v>
      </c>
      <c r="P251" s="4">
        <v>2784800.7441799799</v>
      </c>
      <c r="Q251">
        <v>3331268.2474686308</v>
      </c>
      <c r="R251">
        <v>2</v>
      </c>
      <c r="S251" s="4">
        <v>0</v>
      </c>
      <c r="T251">
        <f t="shared" si="9"/>
        <v>3181.2499865796417</v>
      </c>
      <c r="U251">
        <f t="shared" si="10"/>
        <v>-3179.2499865796417</v>
      </c>
      <c r="V251">
        <v>2530105.6340916208</v>
      </c>
      <c r="W251">
        <v>1</v>
      </c>
      <c r="X251">
        <v>3811257.0651813252</v>
      </c>
      <c r="Y251">
        <v>0</v>
      </c>
      <c r="Z251">
        <f t="shared" si="11"/>
        <v>0</v>
      </c>
    </row>
    <row r="252" spans="1:26" x14ac:dyDescent="0.3">
      <c r="A252">
        <v>20221215</v>
      </c>
      <c r="B252" s="5">
        <v>44910</v>
      </c>
      <c r="C252">
        <v>800153.52802141197</v>
      </c>
      <c r="D252">
        <v>971935.653300012</v>
      </c>
      <c r="E252" s="5">
        <v>44910</v>
      </c>
      <c r="F252" s="4">
        <v>20221215</v>
      </c>
      <c r="G252" s="5"/>
      <c r="H252" s="4">
        <v>1667802.6935199979</v>
      </c>
      <c r="I252" s="4">
        <v>2370243.7965599801</v>
      </c>
      <c r="J252" s="4">
        <v>1566146.4802999981</v>
      </c>
      <c r="K252">
        <v>1709639.9022200019</v>
      </c>
      <c r="L252" s="4">
        <v>950371.22808000003</v>
      </c>
      <c r="M252" s="4">
        <v>928494.03589999804</v>
      </c>
      <c r="N252" s="4">
        <v>1026593.6406999979</v>
      </c>
      <c r="O252" s="4">
        <v>1697649.386539998</v>
      </c>
      <c r="P252" s="4">
        <v>2755300.3647999801</v>
      </c>
      <c r="Q252">
        <v>3288308.7841762388</v>
      </c>
      <c r="R252">
        <v>3</v>
      </c>
      <c r="S252" s="4">
        <v>0</v>
      </c>
      <c r="T252">
        <f t="shared" si="9"/>
        <v>-42959.463292391971</v>
      </c>
      <c r="U252">
        <f t="shared" si="10"/>
        <v>42962.463292391971</v>
      </c>
      <c r="V252">
        <v>2538474.2533460259</v>
      </c>
      <c r="W252">
        <v>1</v>
      </c>
      <c r="X252">
        <v>3811257.0651813252</v>
      </c>
      <c r="Y252">
        <v>0</v>
      </c>
      <c r="Z252">
        <f t="shared" si="11"/>
        <v>0</v>
      </c>
    </row>
    <row r="253" spans="1:26" x14ac:dyDescent="0.3">
      <c r="A253">
        <v>20221216</v>
      </c>
      <c r="B253" s="5">
        <v>44911</v>
      </c>
      <c r="C253">
        <v>787795.95693464926</v>
      </c>
      <c r="D253">
        <v>959094.63410001202</v>
      </c>
      <c r="E253" s="5">
        <v>44911</v>
      </c>
      <c r="F253" s="4">
        <v>20221216</v>
      </c>
      <c r="G253" s="5"/>
      <c r="H253" s="4">
        <v>1652050.255459998</v>
      </c>
      <c r="I253" s="4">
        <v>2357299.9088399801</v>
      </c>
      <c r="J253" s="4">
        <v>1551249.7478599981</v>
      </c>
      <c r="K253">
        <v>1686795.2803000021</v>
      </c>
      <c r="L253" s="4">
        <v>939395.01861999999</v>
      </c>
      <c r="M253" s="4">
        <v>920758.66691999813</v>
      </c>
      <c r="N253" s="4">
        <v>1015074.7393599979</v>
      </c>
      <c r="O253" s="4">
        <v>1672806.6226399981</v>
      </c>
      <c r="P253" s="4">
        <v>2708924.9732599799</v>
      </c>
      <c r="Q253">
        <v>3252987.1784915738</v>
      </c>
      <c r="R253">
        <v>3</v>
      </c>
      <c r="S253" s="4">
        <v>0</v>
      </c>
      <c r="T253">
        <f t="shared" si="9"/>
        <v>-35321.605684665032</v>
      </c>
      <c r="U253">
        <f t="shared" si="10"/>
        <v>35324.605684665032</v>
      </c>
      <c r="V253">
        <v>2511206.2745597954</v>
      </c>
      <c r="W253">
        <v>3</v>
      </c>
      <c r="X253">
        <v>3811257.0651813252</v>
      </c>
      <c r="Y253">
        <v>0</v>
      </c>
      <c r="Z253">
        <f t="shared" si="11"/>
        <v>0</v>
      </c>
    </row>
    <row r="254" spans="1:26" x14ac:dyDescent="0.3">
      <c r="A254">
        <v>20221219</v>
      </c>
      <c r="B254" s="5">
        <v>44914</v>
      </c>
      <c r="C254">
        <v>774791.80907352897</v>
      </c>
      <c r="D254">
        <v>949035.97060001199</v>
      </c>
      <c r="E254" s="5">
        <v>44914</v>
      </c>
      <c r="F254" s="4">
        <v>20221219</v>
      </c>
      <c r="G254" s="5"/>
      <c r="H254" s="4">
        <v>1636605.8625599979</v>
      </c>
      <c r="I254" s="4">
        <v>2335268.1052199798</v>
      </c>
      <c r="J254" s="4">
        <v>1539833.169259998</v>
      </c>
      <c r="K254">
        <v>1676400.619360002</v>
      </c>
      <c r="L254" s="4">
        <v>940004.71194000007</v>
      </c>
      <c r="M254" s="4">
        <v>917560.80491999793</v>
      </c>
      <c r="N254" s="4">
        <v>1018941.6984999981</v>
      </c>
      <c r="O254" s="4">
        <v>1651705.0499599981</v>
      </c>
      <c r="P254" s="4">
        <v>2697720.3221399798</v>
      </c>
      <c r="Q254">
        <v>3183983.0029037381</v>
      </c>
      <c r="R254">
        <v>3</v>
      </c>
      <c r="S254" s="4">
        <v>0</v>
      </c>
      <c r="T254">
        <f t="shared" si="9"/>
        <v>-69004.175587835722</v>
      </c>
      <c r="U254">
        <f t="shared" si="10"/>
        <v>69007.175587835722</v>
      </c>
      <c r="V254">
        <v>2457942.3265780467</v>
      </c>
      <c r="W254">
        <v>3</v>
      </c>
      <c r="X254">
        <v>3811257.0651813252</v>
      </c>
      <c r="Y254">
        <v>0</v>
      </c>
      <c r="Z254">
        <f t="shared" si="11"/>
        <v>0</v>
      </c>
    </row>
    <row r="255" spans="1:26" x14ac:dyDescent="0.3">
      <c r="A255">
        <v>20221220</v>
      </c>
      <c r="B255" s="5">
        <v>44915</v>
      </c>
      <c r="C255">
        <v>775087.00475278602</v>
      </c>
      <c r="D255">
        <v>951407.11290001206</v>
      </c>
      <c r="E255" s="5">
        <v>44915</v>
      </c>
      <c r="F255" s="4">
        <v>20221220</v>
      </c>
      <c r="G255" s="5"/>
      <c r="H255" s="4">
        <v>1604948.0975999979</v>
      </c>
      <c r="I255" s="4">
        <v>2295036.23837998</v>
      </c>
      <c r="J255" s="4">
        <v>1501711.4277799982</v>
      </c>
      <c r="K255">
        <v>1651639.3867800019</v>
      </c>
      <c r="L255" s="4">
        <v>943031.12141999998</v>
      </c>
      <c r="M255" s="4">
        <v>916427.063979998</v>
      </c>
      <c r="N255" s="4">
        <v>1013928.002579998</v>
      </c>
      <c r="O255" s="4">
        <v>1590230.7598199979</v>
      </c>
      <c r="P255" s="4">
        <v>2656070.3723599799</v>
      </c>
      <c r="Q255">
        <v>3181500.4127008449</v>
      </c>
      <c r="R255">
        <v>1</v>
      </c>
      <c r="S255" s="4">
        <v>0</v>
      </c>
      <c r="T255">
        <f t="shared" si="9"/>
        <v>-2482.5902028931305</v>
      </c>
      <c r="U255">
        <f t="shared" si="10"/>
        <v>2483.5902028931305</v>
      </c>
      <c r="V255">
        <v>2439041.1640463918</v>
      </c>
      <c r="W255">
        <v>3</v>
      </c>
      <c r="X255">
        <v>3811257.0651813252</v>
      </c>
      <c r="Y255">
        <v>0</v>
      </c>
      <c r="Z255">
        <f t="shared" si="11"/>
        <v>0</v>
      </c>
    </row>
    <row r="256" spans="1:26" x14ac:dyDescent="0.3">
      <c r="A256">
        <v>20221221</v>
      </c>
      <c r="B256" s="5">
        <v>44916</v>
      </c>
      <c r="C256">
        <v>776185.30303852074</v>
      </c>
      <c r="D256">
        <v>953212.27650001203</v>
      </c>
      <c r="E256" s="5">
        <v>44916</v>
      </c>
      <c r="F256" s="4">
        <v>20221221</v>
      </c>
      <c r="G256" s="5"/>
      <c r="H256" s="4">
        <v>1593502.2923799981</v>
      </c>
      <c r="I256" s="4">
        <v>2298418.1679799799</v>
      </c>
      <c r="J256" s="4">
        <v>1476189.993679998</v>
      </c>
      <c r="K256">
        <v>1623569.512740002</v>
      </c>
      <c r="L256" s="4">
        <v>932913.05488000007</v>
      </c>
      <c r="M256" s="4">
        <v>904107.78117999807</v>
      </c>
      <c r="N256" s="4">
        <v>1006284.6588799979</v>
      </c>
      <c r="O256" s="4">
        <v>1597779.4713199981</v>
      </c>
      <c r="P256" s="4">
        <v>2634241.9590599802</v>
      </c>
      <c r="Q256">
        <v>3019258.6319806664</v>
      </c>
      <c r="R256">
        <v>1</v>
      </c>
      <c r="S256" s="4">
        <v>0</v>
      </c>
      <c r="T256">
        <f t="shared" si="9"/>
        <v>-162241.7807201785</v>
      </c>
      <c r="U256">
        <f t="shared" si="10"/>
        <v>162242.7807201785</v>
      </c>
      <c r="V256">
        <v>2391258.2427428281</v>
      </c>
      <c r="W256">
        <v>2</v>
      </c>
      <c r="X256">
        <v>3811257.0651813252</v>
      </c>
      <c r="Y256">
        <v>0</v>
      </c>
      <c r="Z256">
        <f t="shared" si="11"/>
        <v>0</v>
      </c>
    </row>
    <row r="257" spans="1:26" x14ac:dyDescent="0.3">
      <c r="A257">
        <v>20221222</v>
      </c>
      <c r="B257" s="5">
        <v>44917</v>
      </c>
      <c r="C257">
        <v>774592.57079668564</v>
      </c>
      <c r="D257">
        <v>943442.305300012</v>
      </c>
      <c r="E257" s="5">
        <v>44917</v>
      </c>
      <c r="F257" s="4">
        <v>20221222</v>
      </c>
      <c r="G257" s="5"/>
      <c r="H257" s="4">
        <v>1609721.6510199981</v>
      </c>
      <c r="I257" s="4">
        <v>2323903.0463799802</v>
      </c>
      <c r="J257" s="4">
        <v>1506225.772879998</v>
      </c>
      <c r="K257">
        <v>1649905.643580002</v>
      </c>
      <c r="L257" s="4">
        <v>957184.01699999999</v>
      </c>
      <c r="M257" s="4">
        <v>927882.1575799979</v>
      </c>
      <c r="N257" s="4">
        <v>1035483.5366199979</v>
      </c>
      <c r="O257" s="4">
        <v>1607371.431699998</v>
      </c>
      <c r="P257" s="4">
        <v>2730504.6858999799</v>
      </c>
      <c r="Q257">
        <v>3019258.6319806664</v>
      </c>
      <c r="R257">
        <v>0</v>
      </c>
      <c r="S257" s="4">
        <v>0</v>
      </c>
      <c r="T257">
        <f t="shared" si="9"/>
        <v>0</v>
      </c>
      <c r="U257">
        <f t="shared" si="10"/>
        <v>0</v>
      </c>
      <c r="V257">
        <v>2409951.92833889</v>
      </c>
      <c r="W257">
        <v>2</v>
      </c>
      <c r="X257">
        <v>3811257.0651813252</v>
      </c>
      <c r="Y257">
        <v>0</v>
      </c>
      <c r="Z257">
        <f t="shared" si="11"/>
        <v>0</v>
      </c>
    </row>
    <row r="258" spans="1:26" x14ac:dyDescent="0.3">
      <c r="A258">
        <v>20221223</v>
      </c>
      <c r="B258" s="5">
        <v>44918</v>
      </c>
      <c r="C258">
        <v>777670.0270804608</v>
      </c>
      <c r="D258">
        <v>964122.23560001201</v>
      </c>
      <c r="E258" s="5">
        <v>44918</v>
      </c>
      <c r="F258" s="4">
        <v>20221223</v>
      </c>
      <c r="G258" s="5"/>
      <c r="H258" s="4">
        <v>1657395.6104799979</v>
      </c>
      <c r="I258" s="4">
        <v>2392744.33005998</v>
      </c>
      <c r="J258" s="4">
        <v>1547862.893139998</v>
      </c>
      <c r="K258">
        <v>1671741.245800002</v>
      </c>
      <c r="L258" s="4">
        <v>969210.72185999993</v>
      </c>
      <c r="M258" s="4">
        <v>940358.15607999801</v>
      </c>
      <c r="N258" s="4">
        <v>1048162.793199998</v>
      </c>
      <c r="O258" s="4">
        <v>1636805.1670999979</v>
      </c>
      <c r="P258" s="4">
        <v>2770804.4835399799</v>
      </c>
      <c r="Q258">
        <v>3102291.8446481791</v>
      </c>
      <c r="R258">
        <v>2</v>
      </c>
      <c r="S258" s="4">
        <v>0</v>
      </c>
      <c r="T258">
        <f t="shared" si="9"/>
        <v>83033.212667512707</v>
      </c>
      <c r="U258">
        <f t="shared" si="10"/>
        <v>-83031.212667512707</v>
      </c>
      <c r="V258">
        <v>2476162.105581244</v>
      </c>
      <c r="W258">
        <v>1</v>
      </c>
      <c r="X258">
        <v>3811257.0651813252</v>
      </c>
      <c r="Y258">
        <v>0</v>
      </c>
      <c r="Z258">
        <f t="shared" si="11"/>
        <v>0</v>
      </c>
    </row>
    <row r="259" spans="1:26" x14ac:dyDescent="0.3">
      <c r="A259">
        <v>20221226</v>
      </c>
      <c r="B259" s="5">
        <v>44921</v>
      </c>
      <c r="C259">
        <v>786634.22948261735</v>
      </c>
      <c r="D259">
        <v>973644.68340001197</v>
      </c>
      <c r="E259" s="5">
        <v>44921</v>
      </c>
      <c r="F259" s="4">
        <v>20221226</v>
      </c>
      <c r="G259" s="5"/>
      <c r="H259" s="4">
        <v>1651802.8969199979</v>
      </c>
      <c r="I259" s="4">
        <v>2384671.2613599799</v>
      </c>
      <c r="J259" s="4">
        <v>1562078.290979998</v>
      </c>
      <c r="K259">
        <v>1681771.5976000018</v>
      </c>
      <c r="L259" s="4">
        <v>965109.15236000007</v>
      </c>
      <c r="M259" s="4">
        <v>937367.96219999809</v>
      </c>
      <c r="N259" s="4">
        <v>1041656.416859998</v>
      </c>
      <c r="O259" s="4">
        <v>1655582.4318999979</v>
      </c>
      <c r="P259" s="4">
        <v>2781726.94813998</v>
      </c>
      <c r="Q259">
        <v>3152297.6780022671</v>
      </c>
      <c r="R259">
        <v>2</v>
      </c>
      <c r="S259" s="4">
        <v>0</v>
      </c>
      <c r="T259">
        <f t="shared" si="9"/>
        <v>50005.833354088012</v>
      </c>
      <c r="U259">
        <f t="shared" si="10"/>
        <v>-50003.833354088012</v>
      </c>
      <c r="V259">
        <v>2476162.105581244</v>
      </c>
      <c r="W259">
        <v>0</v>
      </c>
      <c r="X259">
        <v>3893382.9113767552</v>
      </c>
      <c r="Y259">
        <v>3</v>
      </c>
      <c r="Z259">
        <f t="shared" si="11"/>
        <v>2.1548230620734261E-2</v>
      </c>
    </row>
    <row r="260" spans="1:26" x14ac:dyDescent="0.3">
      <c r="A260">
        <v>20221227</v>
      </c>
      <c r="B260" s="5">
        <v>44922</v>
      </c>
      <c r="C260">
        <v>783265.07507774327</v>
      </c>
      <c r="D260">
        <v>969481.48330001195</v>
      </c>
      <c r="E260" s="5">
        <v>44922</v>
      </c>
      <c r="F260" s="4">
        <v>20221227</v>
      </c>
      <c r="G260" s="5"/>
      <c r="H260" s="4">
        <v>1657169.0187999981</v>
      </c>
      <c r="I260" s="4">
        <v>2392415.2602999797</v>
      </c>
      <c r="J260" s="4">
        <v>1569667.9244999981</v>
      </c>
      <c r="K260">
        <v>1688081.8453400019</v>
      </c>
      <c r="L260" s="4">
        <v>966002.95120000001</v>
      </c>
      <c r="M260" s="4">
        <v>935751.151859998</v>
      </c>
      <c r="N260" s="4">
        <v>1041456.917839998</v>
      </c>
      <c r="O260" s="4">
        <v>1660957.0832199981</v>
      </c>
      <c r="P260" s="4">
        <v>2785259.1121399803</v>
      </c>
      <c r="Q260">
        <v>3183980.7414149842</v>
      </c>
      <c r="R260">
        <v>3</v>
      </c>
      <c r="S260" s="4">
        <v>0</v>
      </c>
      <c r="T260">
        <f t="shared" ref="T260:T302" si="12">Q260-Q259</f>
        <v>31683.063412717078</v>
      </c>
      <c r="U260">
        <f t="shared" ref="U260:U302" si="13">R260-T260</f>
        <v>-31680.063412717078</v>
      </c>
      <c r="V260">
        <v>2476162.105581244</v>
      </c>
      <c r="W260">
        <v>0</v>
      </c>
      <c r="X260">
        <v>3932513.9433231791</v>
      </c>
      <c r="Y260">
        <v>3</v>
      </c>
      <c r="Z260">
        <f t="shared" ref="Z260:Z302" si="14">(X260-X259)/X259</f>
        <v>1.0050650767506103E-2</v>
      </c>
    </row>
    <row r="261" spans="1:26" x14ac:dyDescent="0.3">
      <c r="A261">
        <v>20221228</v>
      </c>
      <c r="B261" s="5">
        <v>44923</v>
      </c>
      <c r="C261">
        <v>780305.89962409961</v>
      </c>
      <c r="D261">
        <v>970391.94430001196</v>
      </c>
      <c r="E261" s="5">
        <v>44923</v>
      </c>
      <c r="F261" s="4">
        <v>20221228</v>
      </c>
      <c r="G261" s="5"/>
      <c r="H261" s="4">
        <v>1681720.6763599981</v>
      </c>
      <c r="I261" s="4">
        <v>2427859.86631998</v>
      </c>
      <c r="J261" s="4">
        <v>1568554.652259998</v>
      </c>
      <c r="K261">
        <v>1669363.4535000022</v>
      </c>
      <c r="L261" s="4">
        <v>970424.63022000005</v>
      </c>
      <c r="M261" s="4">
        <v>936483.86235999805</v>
      </c>
      <c r="N261" s="4">
        <v>1047835.593819998</v>
      </c>
      <c r="O261" s="4">
        <v>1660811.972399998</v>
      </c>
      <c r="P261" s="4">
        <v>2789622.2836799799</v>
      </c>
      <c r="Q261">
        <v>3190172.0050200582</v>
      </c>
      <c r="R261">
        <v>3</v>
      </c>
      <c r="S261" s="4">
        <v>0</v>
      </c>
      <c r="T261">
        <f t="shared" si="12"/>
        <v>6191.2636050740257</v>
      </c>
      <c r="U261">
        <f t="shared" si="13"/>
        <v>-6188.2636050740257</v>
      </c>
      <c r="V261">
        <v>2480977.0324759982</v>
      </c>
      <c r="W261">
        <v>3</v>
      </c>
      <c r="X261">
        <v>3940160.6407043901</v>
      </c>
      <c r="Y261">
        <v>3</v>
      </c>
      <c r="Z261">
        <f t="shared" si="14"/>
        <v>1.9444806786238936E-3</v>
      </c>
    </row>
    <row r="262" spans="1:26" x14ac:dyDescent="0.3">
      <c r="A262">
        <v>20221229</v>
      </c>
      <c r="B262" s="5">
        <v>44924</v>
      </c>
      <c r="C262">
        <v>783314.75917305017</v>
      </c>
      <c r="D262">
        <v>974823.96370001195</v>
      </c>
      <c r="E262" s="5">
        <v>44924</v>
      </c>
      <c r="F262" s="4">
        <v>20221229</v>
      </c>
      <c r="G262" s="5"/>
      <c r="H262" s="4">
        <v>1704841.0358999979</v>
      </c>
      <c r="I262" s="4">
        <v>2426691.1017799797</v>
      </c>
      <c r="J262" s="4">
        <v>1602050.286279998</v>
      </c>
      <c r="K262">
        <v>1711153.6539800023</v>
      </c>
      <c r="L262" s="4">
        <v>971211.27684000006</v>
      </c>
      <c r="M262" s="4">
        <v>935894.30951999803</v>
      </c>
      <c r="N262" s="4">
        <v>1048924.818199998</v>
      </c>
      <c r="O262" s="4">
        <v>1698826.2405399978</v>
      </c>
      <c r="P262" s="4">
        <v>2823847.8039799798</v>
      </c>
      <c r="Q262">
        <v>3189360.5671463842</v>
      </c>
      <c r="R262">
        <v>3</v>
      </c>
      <c r="S262" s="4">
        <v>0</v>
      </c>
      <c r="T262">
        <f t="shared" si="12"/>
        <v>-811.43787367409095</v>
      </c>
      <c r="U262">
        <f t="shared" si="13"/>
        <v>814.43787367409095</v>
      </c>
      <c r="V262">
        <v>2480345.9804468411</v>
      </c>
      <c r="W262">
        <v>3</v>
      </c>
      <c r="X262">
        <v>3939158.4278018144</v>
      </c>
      <c r="Y262">
        <v>3</v>
      </c>
      <c r="Z262">
        <f t="shared" si="14"/>
        <v>-2.5435838636177124E-4</v>
      </c>
    </row>
    <row r="263" spans="1:26" x14ac:dyDescent="0.3">
      <c r="A263">
        <v>20221230</v>
      </c>
      <c r="B263" s="5">
        <v>44925</v>
      </c>
      <c r="C263">
        <v>786592.93144018936</v>
      </c>
      <c r="D263">
        <v>978614.22830001195</v>
      </c>
      <c r="E263" s="5">
        <v>44925</v>
      </c>
      <c r="F263" s="4">
        <v>20221230</v>
      </c>
      <c r="G263" s="5"/>
      <c r="H263" s="4">
        <v>1706431.527559998</v>
      </c>
      <c r="I263" s="4">
        <v>2420251.4992799801</v>
      </c>
      <c r="J263" s="4">
        <v>1597602.224179998</v>
      </c>
      <c r="K263">
        <v>1747850.0328800019</v>
      </c>
      <c r="L263" s="4">
        <v>970206.02432000008</v>
      </c>
      <c r="M263" s="4">
        <v>931290.75773999805</v>
      </c>
      <c r="N263" s="4">
        <v>1055692.3972199981</v>
      </c>
      <c r="O263" s="4">
        <v>1685747.6800599981</v>
      </c>
      <c r="P263" s="4">
        <v>2823819.5656999801</v>
      </c>
      <c r="Q263">
        <v>3228512.6033574473</v>
      </c>
      <c r="R263">
        <v>4</v>
      </c>
      <c r="S263" s="4">
        <v>0</v>
      </c>
      <c r="T263">
        <f t="shared" si="12"/>
        <v>39152.036211063154</v>
      </c>
      <c r="U263">
        <f t="shared" si="13"/>
        <v>-39148.036211063154</v>
      </c>
      <c r="V263">
        <v>2502024.8319678544</v>
      </c>
      <c r="W263">
        <v>2</v>
      </c>
      <c r="X263">
        <v>3962295.617190911</v>
      </c>
      <c r="Y263">
        <v>3</v>
      </c>
      <c r="Z263">
        <f t="shared" si="14"/>
        <v>5.8736376850950667E-3</v>
      </c>
    </row>
    <row r="264" spans="1:26" x14ac:dyDescent="0.3">
      <c r="A264">
        <v>20230103</v>
      </c>
      <c r="B264" s="5">
        <v>44929</v>
      </c>
      <c r="C264">
        <v>787602.13017122715</v>
      </c>
      <c r="D264">
        <v>980723.87850001105</v>
      </c>
      <c r="E264" s="5">
        <v>44929</v>
      </c>
      <c r="F264" s="4">
        <v>20230103</v>
      </c>
      <c r="G264" s="5" t="s">
        <v>11</v>
      </c>
      <c r="H264" s="4">
        <v>1746026.6538599979</v>
      </c>
      <c r="I264" s="4">
        <v>2464885.7237799801</v>
      </c>
      <c r="J264" s="4">
        <v>1627950.2921999979</v>
      </c>
      <c r="K264">
        <v>1775074.312180002</v>
      </c>
      <c r="L264" s="4">
        <v>989124.15844000003</v>
      </c>
      <c r="M264" s="4">
        <v>950129.46289999806</v>
      </c>
      <c r="N264" s="4">
        <v>1076465.255979998</v>
      </c>
      <c r="O264" s="4">
        <v>1712404.5203599979</v>
      </c>
      <c r="P264" s="4">
        <v>2864800.2720399802</v>
      </c>
      <c r="Q264">
        <v>3228476.0600839811</v>
      </c>
      <c r="R264">
        <v>4</v>
      </c>
      <c r="S264" s="4">
        <v>0</v>
      </c>
      <c r="T264">
        <f t="shared" si="12"/>
        <v>-36.543273466173559</v>
      </c>
      <c r="U264">
        <f t="shared" si="13"/>
        <v>40.543273466173559</v>
      </c>
      <c r="V264">
        <v>2568409.539121923</v>
      </c>
      <c r="W264">
        <v>1</v>
      </c>
      <c r="X264">
        <v>3942396.7740191175</v>
      </c>
      <c r="Y264">
        <v>3</v>
      </c>
      <c r="Z264">
        <f t="shared" si="14"/>
        <v>-5.0220491084662896E-3</v>
      </c>
    </row>
    <row r="265" spans="1:26" x14ac:dyDescent="0.3">
      <c r="A265">
        <v>20230104</v>
      </c>
      <c r="B265" s="5">
        <v>44930</v>
      </c>
      <c r="C265">
        <v>802890.27511998091</v>
      </c>
      <c r="D265">
        <v>998301.014700011</v>
      </c>
      <c r="E265" s="5">
        <v>44930</v>
      </c>
      <c r="F265" s="4">
        <v>20230104</v>
      </c>
      <c r="G265" s="5"/>
      <c r="H265" s="4">
        <v>1733882.2262399979</v>
      </c>
      <c r="I265" s="4">
        <v>2536640.3194599799</v>
      </c>
      <c r="J265" s="4">
        <v>1666049.370419998</v>
      </c>
      <c r="K265">
        <v>1814954.128200002</v>
      </c>
      <c r="L265" s="4">
        <v>996493.89078000002</v>
      </c>
      <c r="M265" s="4">
        <v>954172.63386000006</v>
      </c>
      <c r="N265" s="4">
        <v>1089016.1192399981</v>
      </c>
      <c r="O265" s="4">
        <v>1758200.2855199981</v>
      </c>
      <c r="P265" s="4">
        <v>2868565.1231599799</v>
      </c>
      <c r="Q265">
        <v>3287369.0178293991</v>
      </c>
      <c r="R265">
        <v>1</v>
      </c>
      <c r="S265" s="4">
        <v>0</v>
      </c>
      <c r="T265">
        <f t="shared" si="12"/>
        <v>58892.957745417953</v>
      </c>
      <c r="U265">
        <f t="shared" si="13"/>
        <v>-58891.957745417953</v>
      </c>
      <c r="V265">
        <v>2568409.539121923</v>
      </c>
      <c r="W265">
        <v>0</v>
      </c>
      <c r="X265">
        <v>4004662.0549591072</v>
      </c>
      <c r="Y265">
        <v>3</v>
      </c>
      <c r="Z265">
        <f t="shared" si="14"/>
        <v>1.5793763162126561E-2</v>
      </c>
    </row>
    <row r="266" spans="1:26" x14ac:dyDescent="0.3">
      <c r="A266">
        <v>20230105</v>
      </c>
      <c r="B266" s="5">
        <v>44931</v>
      </c>
      <c r="C266">
        <v>805367.99450900115</v>
      </c>
      <c r="D266">
        <v>1002694.79200001</v>
      </c>
      <c r="E266" s="5">
        <v>44931</v>
      </c>
      <c r="F266" s="4">
        <v>20230105</v>
      </c>
      <c r="G266" s="5"/>
      <c r="H266" s="4">
        <v>1761133.2249399978</v>
      </c>
      <c r="I266" s="4">
        <v>2576519.5874399799</v>
      </c>
      <c r="J266" s="4">
        <v>1656047.9672799981</v>
      </c>
      <c r="K266">
        <v>1816285.582640002</v>
      </c>
      <c r="L266" s="4">
        <v>994790.94233999995</v>
      </c>
      <c r="M266" s="4">
        <v>946933.48939999996</v>
      </c>
      <c r="N266" s="4">
        <v>1084424.889019998</v>
      </c>
      <c r="O266" s="4">
        <v>1773136.863479998</v>
      </c>
      <c r="P266" s="4">
        <v>2862523.6608799798</v>
      </c>
      <c r="Q266">
        <v>3301240.6178636169</v>
      </c>
      <c r="R266">
        <v>2</v>
      </c>
      <c r="S266" s="4">
        <v>0</v>
      </c>
      <c r="T266">
        <f t="shared" si="12"/>
        <v>13871.600034217816</v>
      </c>
      <c r="U266">
        <f t="shared" si="13"/>
        <v>-13869.600034217816</v>
      </c>
      <c r="V266">
        <v>2568409.539121923</v>
      </c>
      <c r="W266">
        <v>0</v>
      </c>
      <c r="X266">
        <v>4016442.1863514641</v>
      </c>
      <c r="Y266">
        <v>3</v>
      </c>
      <c r="Z266">
        <f t="shared" si="14"/>
        <v>2.9416043677815982E-3</v>
      </c>
    </row>
    <row r="267" spans="1:26" x14ac:dyDescent="0.3">
      <c r="A267">
        <v>20230106</v>
      </c>
      <c r="B267" s="5">
        <v>44932</v>
      </c>
      <c r="C267">
        <v>811875.36790463387</v>
      </c>
      <c r="D267">
        <v>999297.69630001194</v>
      </c>
      <c r="E267" s="5">
        <v>44932</v>
      </c>
      <c r="F267" s="4">
        <v>20230106</v>
      </c>
      <c r="G267" s="5"/>
      <c r="H267" s="4">
        <v>1803496.6613599979</v>
      </c>
      <c r="I267" s="4">
        <v>2607616.8828399801</v>
      </c>
      <c r="J267" s="4">
        <v>1687394.8842399982</v>
      </c>
      <c r="K267">
        <v>1812351.680880002</v>
      </c>
      <c r="L267" s="4">
        <v>1005722.0363800001</v>
      </c>
      <c r="M267" s="4">
        <v>953102.75788000005</v>
      </c>
      <c r="N267" s="4">
        <v>1103243.9565199981</v>
      </c>
      <c r="O267" s="4">
        <v>1792117.2012999982</v>
      </c>
      <c r="P267" s="4">
        <v>2865842.75941998</v>
      </c>
      <c r="Q267">
        <v>3373219.1918698335</v>
      </c>
      <c r="R267">
        <v>2</v>
      </c>
      <c r="S267" s="4">
        <v>0</v>
      </c>
      <c r="T267">
        <f t="shared" si="12"/>
        <v>71978.574006216601</v>
      </c>
      <c r="U267">
        <f t="shared" si="13"/>
        <v>-71976.574006216601</v>
      </c>
      <c r="V267">
        <v>2644446.295518863</v>
      </c>
      <c r="W267">
        <v>3</v>
      </c>
      <c r="X267">
        <v>4016442.1863514641</v>
      </c>
      <c r="Y267">
        <v>0</v>
      </c>
      <c r="Z267">
        <f t="shared" si="14"/>
        <v>0</v>
      </c>
    </row>
    <row r="268" spans="1:26" x14ac:dyDescent="0.3">
      <c r="A268">
        <v>20230109</v>
      </c>
      <c r="B268" s="5">
        <v>44935</v>
      </c>
      <c r="C268">
        <v>812743.26267292397</v>
      </c>
      <c r="D268">
        <v>1008718.84860001</v>
      </c>
      <c r="E268" s="5">
        <v>44935</v>
      </c>
      <c r="F268" s="4">
        <v>20230109</v>
      </c>
      <c r="G268" s="5"/>
      <c r="H268" s="4">
        <v>1781677.0641999978</v>
      </c>
      <c r="I268" s="4">
        <v>2542647.3967599804</v>
      </c>
      <c r="J268" s="4">
        <v>1670483.9132799979</v>
      </c>
      <c r="K268">
        <v>1780210.696020002</v>
      </c>
      <c r="L268" s="4">
        <v>991567.42892000009</v>
      </c>
      <c r="M268" s="4">
        <v>938899.59534000012</v>
      </c>
      <c r="N268" s="4">
        <v>1096026.2038799981</v>
      </c>
      <c r="O268" s="4">
        <v>1776785.6074999981</v>
      </c>
      <c r="P268" s="4">
        <v>2852883.9134599799</v>
      </c>
      <c r="Q268">
        <v>3316097.7528527724</v>
      </c>
      <c r="R268">
        <v>2</v>
      </c>
      <c r="S268" s="4">
        <v>0</v>
      </c>
      <c r="T268">
        <f t="shared" si="12"/>
        <v>-57121.439017061144</v>
      </c>
      <c r="U268">
        <f t="shared" si="13"/>
        <v>57123.439017061144</v>
      </c>
      <c r="V268">
        <v>2642786.4120242037</v>
      </c>
      <c r="W268">
        <v>3</v>
      </c>
      <c r="X268">
        <v>4016442.1863514641</v>
      </c>
      <c r="Y268">
        <v>0</v>
      </c>
      <c r="Z268">
        <f t="shared" si="14"/>
        <v>0</v>
      </c>
    </row>
    <row r="269" spans="1:26" x14ac:dyDescent="0.3">
      <c r="A269">
        <v>20230110</v>
      </c>
      <c r="B269" s="5">
        <v>44936</v>
      </c>
      <c r="C269">
        <v>811224.2455149882</v>
      </c>
      <c r="D269">
        <v>999002.35440001101</v>
      </c>
      <c r="E269" s="5">
        <v>44936</v>
      </c>
      <c r="F269" s="4">
        <v>20230110</v>
      </c>
      <c r="G269" s="5"/>
      <c r="H269" s="4">
        <v>1783877.804939996</v>
      </c>
      <c r="I269" s="4">
        <v>2541520.7770199804</v>
      </c>
      <c r="J269" s="4">
        <v>1668106.835939998</v>
      </c>
      <c r="K269">
        <v>1762580.1022600022</v>
      </c>
      <c r="L269" s="4">
        <v>987440.02273999993</v>
      </c>
      <c r="M269" s="4">
        <v>935514.41099999996</v>
      </c>
      <c r="N269" s="4">
        <v>1095739.890059998</v>
      </c>
      <c r="O269" s="4">
        <v>1781882.0661799978</v>
      </c>
      <c r="P269" s="4">
        <v>2852678.7006199798</v>
      </c>
      <c r="Q269">
        <v>3301097.1896456941</v>
      </c>
      <c r="R269">
        <v>4</v>
      </c>
      <c r="S269" s="4">
        <v>0</v>
      </c>
      <c r="T269">
        <f t="shared" si="12"/>
        <v>-15000.563207078259</v>
      </c>
      <c r="U269">
        <f t="shared" si="13"/>
        <v>15004.563207078259</v>
      </c>
      <c r="V269">
        <v>2631884.5035510371</v>
      </c>
      <c r="W269">
        <v>1</v>
      </c>
      <c r="X269">
        <v>4016442.1863514641</v>
      </c>
      <c r="Y269">
        <v>0</v>
      </c>
      <c r="Z269">
        <f t="shared" si="14"/>
        <v>0</v>
      </c>
    </row>
    <row r="270" spans="1:26" x14ac:dyDescent="0.3">
      <c r="A270">
        <v>20230111</v>
      </c>
      <c r="B270" s="5">
        <v>44937</v>
      </c>
      <c r="C270">
        <v>812797.20932704187</v>
      </c>
      <c r="D270">
        <v>996330.827200011</v>
      </c>
      <c r="E270" s="5">
        <v>44937</v>
      </c>
      <c r="F270" s="4">
        <v>20230111</v>
      </c>
      <c r="G270" s="5"/>
      <c r="H270" s="4">
        <v>1769794.7119199962</v>
      </c>
      <c r="I270" s="4">
        <v>2521453.9771799799</v>
      </c>
      <c r="J270" s="4">
        <v>1658676.445059998</v>
      </c>
      <c r="K270">
        <v>1735142.144820004</v>
      </c>
      <c r="L270" s="4">
        <v>986065.94600000011</v>
      </c>
      <c r="M270" s="4">
        <v>931220.5072799999</v>
      </c>
      <c r="N270" s="4">
        <v>1093191.2862399979</v>
      </c>
      <c r="O270" s="4">
        <v>1767814.4960399983</v>
      </c>
      <c r="P270" s="4">
        <v>2852793.4481199803</v>
      </c>
      <c r="Q270">
        <v>3300827.1108293948</v>
      </c>
      <c r="R270">
        <v>4</v>
      </c>
      <c r="S270" s="4">
        <v>0</v>
      </c>
      <c r="T270">
        <f t="shared" si="12"/>
        <v>-270.07881629932672</v>
      </c>
      <c r="U270">
        <f t="shared" si="13"/>
        <v>274.07881629932672</v>
      </c>
      <c r="V270">
        <v>2623434.0354874805</v>
      </c>
      <c r="W270">
        <v>1</v>
      </c>
      <c r="X270">
        <v>4016442.1863514641</v>
      </c>
      <c r="Y270">
        <v>0</v>
      </c>
      <c r="Z270">
        <f t="shared" si="14"/>
        <v>0</v>
      </c>
    </row>
    <row r="271" spans="1:26" x14ac:dyDescent="0.3">
      <c r="A271">
        <v>20230112</v>
      </c>
      <c r="B271" s="5">
        <v>44938</v>
      </c>
      <c r="C271">
        <v>824215.38452366809</v>
      </c>
      <c r="D271">
        <v>995405.948500011</v>
      </c>
      <c r="E271" s="5">
        <v>44938</v>
      </c>
      <c r="F271" s="4">
        <v>20230112</v>
      </c>
      <c r="G271" s="5"/>
      <c r="H271" s="4">
        <v>1799193.2947399959</v>
      </c>
      <c r="I271" s="4">
        <v>2563346.2623399803</v>
      </c>
      <c r="J271" s="4">
        <v>1677167.365259998</v>
      </c>
      <c r="K271">
        <v>1764898.9387200039</v>
      </c>
      <c r="L271" s="4">
        <v>986365.44622000004</v>
      </c>
      <c r="M271" s="4">
        <v>934318.09622000006</v>
      </c>
      <c r="N271" s="4">
        <v>1096917.2687999981</v>
      </c>
      <c r="O271" s="4">
        <v>1782813.1402999978</v>
      </c>
      <c r="P271" s="4">
        <v>2924991.5952399801</v>
      </c>
      <c r="Q271">
        <v>3306396.907098603</v>
      </c>
      <c r="R271">
        <v>3</v>
      </c>
      <c r="S271" s="4">
        <v>0</v>
      </c>
      <c r="T271">
        <f t="shared" si="12"/>
        <v>5569.7962692081928</v>
      </c>
      <c r="U271">
        <f t="shared" si="13"/>
        <v>-5566.7962692081928</v>
      </c>
      <c r="V271">
        <v>2619236.5415514926</v>
      </c>
      <c r="W271">
        <v>1</v>
      </c>
      <c r="X271">
        <v>4016442.1863514641</v>
      </c>
      <c r="Y271">
        <v>0</v>
      </c>
      <c r="Z271">
        <f t="shared" si="14"/>
        <v>0</v>
      </c>
    </row>
    <row r="272" spans="1:26" x14ac:dyDescent="0.3">
      <c r="A272">
        <v>20230113</v>
      </c>
      <c r="B272" s="5">
        <v>44939</v>
      </c>
      <c r="C272">
        <v>837065.72658377653</v>
      </c>
      <c r="D272">
        <v>997397.34090001101</v>
      </c>
      <c r="E272" s="5">
        <v>44939</v>
      </c>
      <c r="F272" s="4">
        <v>20230113</v>
      </c>
      <c r="G272" s="5"/>
      <c r="H272" s="4">
        <v>1785836.8628999977</v>
      </c>
      <c r="I272" s="4">
        <v>2601146.8220799798</v>
      </c>
      <c r="J272" s="4">
        <v>1704330.992399998</v>
      </c>
      <c r="K272">
        <v>1750587.765840004</v>
      </c>
      <c r="L272" s="4">
        <v>984008.45761999988</v>
      </c>
      <c r="M272" s="4">
        <v>931876.65622</v>
      </c>
      <c r="N272" s="4">
        <v>1096620.8116799979</v>
      </c>
      <c r="O272" s="4">
        <v>1807081.151559998</v>
      </c>
      <c r="P272" s="4">
        <v>2908445.3815399799</v>
      </c>
      <c r="Q272">
        <v>3446076.843039827</v>
      </c>
      <c r="R272">
        <v>1</v>
      </c>
      <c r="S272" s="4">
        <v>0</v>
      </c>
      <c r="T272">
        <f t="shared" si="12"/>
        <v>139679.93594122399</v>
      </c>
      <c r="U272">
        <f t="shared" si="13"/>
        <v>-139678.93594122399</v>
      </c>
      <c r="V272">
        <v>2685569.524047628</v>
      </c>
      <c r="W272">
        <v>4</v>
      </c>
      <c r="X272">
        <v>4016442.1863514641</v>
      </c>
      <c r="Y272">
        <v>0</v>
      </c>
      <c r="Z272">
        <f t="shared" si="14"/>
        <v>0</v>
      </c>
    </row>
    <row r="273" spans="1:26" x14ac:dyDescent="0.3">
      <c r="A273">
        <v>20230116</v>
      </c>
      <c r="B273" s="5">
        <v>44942</v>
      </c>
      <c r="C273">
        <v>836906.68409572565</v>
      </c>
      <c r="D273">
        <v>999470.36770001205</v>
      </c>
      <c r="E273" s="5">
        <v>44942</v>
      </c>
      <c r="F273" s="4">
        <v>20230116</v>
      </c>
      <c r="G273" s="5"/>
      <c r="H273" s="4">
        <v>1790145.4776999981</v>
      </c>
      <c r="I273" s="4">
        <v>2589372.8439199803</v>
      </c>
      <c r="J273" s="4">
        <v>1682920.273559998</v>
      </c>
      <c r="K273">
        <v>1745746.0166600042</v>
      </c>
      <c r="L273" s="4">
        <v>974695.82496000198</v>
      </c>
      <c r="M273" s="4">
        <v>929066.55171999801</v>
      </c>
      <c r="N273" s="4">
        <v>1090853.899899998</v>
      </c>
      <c r="O273" s="4">
        <v>1813136.8561199983</v>
      </c>
      <c r="P273" s="4">
        <v>2897744.6936999802</v>
      </c>
      <c r="Q273">
        <v>3436709.1486097788</v>
      </c>
      <c r="R273">
        <v>1</v>
      </c>
      <c r="S273" s="4">
        <v>0</v>
      </c>
      <c r="T273">
        <f t="shared" si="12"/>
        <v>-9367.6944300481118</v>
      </c>
      <c r="U273">
        <f t="shared" si="13"/>
        <v>9368.6944300481118</v>
      </c>
      <c r="V273">
        <v>2686555.2352288682</v>
      </c>
      <c r="W273">
        <v>2</v>
      </c>
      <c r="X273">
        <v>4016442.1863514641</v>
      </c>
      <c r="Y273">
        <v>0</v>
      </c>
      <c r="Z273">
        <f t="shared" si="14"/>
        <v>0</v>
      </c>
    </row>
    <row r="274" spans="1:26" x14ac:dyDescent="0.3">
      <c r="A274">
        <v>20230117</v>
      </c>
      <c r="B274" s="5">
        <v>44943</v>
      </c>
      <c r="C274">
        <v>835491.47489291977</v>
      </c>
      <c r="D274">
        <v>993088.65420001105</v>
      </c>
      <c r="E274" s="5">
        <v>44943</v>
      </c>
      <c r="F274" s="4">
        <v>20230117</v>
      </c>
      <c r="G274" s="5"/>
      <c r="H274" s="4">
        <v>1795209.5957799978</v>
      </c>
      <c r="I274" s="4">
        <v>2586124.5154999802</v>
      </c>
      <c r="J274" s="4">
        <v>1676606.7693199979</v>
      </c>
      <c r="K274">
        <v>1755125.8577200039</v>
      </c>
      <c r="L274" s="4">
        <v>971848.42716000194</v>
      </c>
      <c r="M274" s="4">
        <v>926895.50267999992</v>
      </c>
      <c r="N274" s="4">
        <v>1091057.7210799982</v>
      </c>
      <c r="O274" s="4">
        <v>1821717.5242799979</v>
      </c>
      <c r="P274" s="4">
        <v>2927688.6058199801</v>
      </c>
      <c r="Q274">
        <v>3475943.1123585654</v>
      </c>
      <c r="R274">
        <v>2</v>
      </c>
      <c r="S274" s="4">
        <v>0</v>
      </c>
      <c r="T274">
        <f t="shared" si="12"/>
        <v>39233.963748786598</v>
      </c>
      <c r="U274">
        <f t="shared" si="13"/>
        <v>-39231.963748786598</v>
      </c>
      <c r="V274">
        <v>2681177.6670259712</v>
      </c>
      <c r="W274">
        <v>3</v>
      </c>
      <c r="X274">
        <v>4016442.1863514641</v>
      </c>
      <c r="Y274">
        <v>0</v>
      </c>
      <c r="Z274">
        <f t="shared" si="14"/>
        <v>0</v>
      </c>
    </row>
    <row r="275" spans="1:26" x14ac:dyDescent="0.3">
      <c r="A275">
        <v>20230118</v>
      </c>
      <c r="B275" s="5">
        <v>44944</v>
      </c>
      <c r="C275">
        <v>840675.69949463033</v>
      </c>
      <c r="D275">
        <v>994140.56970001105</v>
      </c>
      <c r="E275" s="5">
        <v>44944</v>
      </c>
      <c r="F275" s="4">
        <v>20230118</v>
      </c>
      <c r="G275" s="5"/>
      <c r="H275" s="4">
        <v>1807391.8377599958</v>
      </c>
      <c r="I275" s="4">
        <v>2714033.12407998</v>
      </c>
      <c r="J275" s="4">
        <v>1652538.0607599979</v>
      </c>
      <c r="K275">
        <v>1807051.7877600039</v>
      </c>
      <c r="L275" s="4">
        <v>974264.36292000208</v>
      </c>
      <c r="M275" s="4">
        <v>930587.7351999979</v>
      </c>
      <c r="N275" s="4">
        <v>1099517.7400599981</v>
      </c>
      <c r="O275" s="4">
        <v>1853649.7752199981</v>
      </c>
      <c r="P275" s="4">
        <v>3001856.4209399801</v>
      </c>
      <c r="Q275">
        <v>3513048.5713114068</v>
      </c>
      <c r="R275">
        <v>2</v>
      </c>
      <c r="S275" s="4">
        <v>0</v>
      </c>
      <c r="T275">
        <f t="shared" si="12"/>
        <v>37105.458952841349</v>
      </c>
      <c r="U275">
        <f t="shared" si="13"/>
        <v>-37103.458952841349</v>
      </c>
      <c r="V275">
        <v>2739096.7694208031</v>
      </c>
      <c r="W275">
        <v>1</v>
      </c>
      <c r="X275">
        <v>4036356.5524596456</v>
      </c>
      <c r="Y275">
        <v>3</v>
      </c>
      <c r="Z275">
        <f t="shared" si="14"/>
        <v>4.95821057149876E-3</v>
      </c>
    </row>
    <row r="276" spans="1:26" x14ac:dyDescent="0.3">
      <c r="A276">
        <v>20230119</v>
      </c>
      <c r="B276" s="5">
        <v>44945</v>
      </c>
      <c r="C276">
        <v>845823.9974783354</v>
      </c>
      <c r="D276">
        <v>997037.621500012</v>
      </c>
      <c r="E276" s="5">
        <v>44945</v>
      </c>
      <c r="F276" s="4">
        <v>20230119</v>
      </c>
      <c r="G276" s="5"/>
      <c r="H276" s="4">
        <v>1861638.1879399959</v>
      </c>
      <c r="I276" s="4">
        <v>2784030.26119998</v>
      </c>
      <c r="J276" s="4">
        <v>1641905.4869999981</v>
      </c>
      <c r="K276">
        <v>1843715.1251800042</v>
      </c>
      <c r="L276" s="4">
        <v>980941.16398000193</v>
      </c>
      <c r="M276" s="4">
        <v>939372.6925599979</v>
      </c>
      <c r="N276" s="4">
        <v>1108931.309579998</v>
      </c>
      <c r="O276" s="4">
        <v>1881292.0107399982</v>
      </c>
      <c r="P276" s="4">
        <v>3057181.9378399802</v>
      </c>
      <c r="Q276">
        <v>3716668.8044884512</v>
      </c>
      <c r="R276">
        <v>2</v>
      </c>
      <c r="S276" s="4">
        <v>0</v>
      </c>
      <c r="T276">
        <f t="shared" si="12"/>
        <v>203620.23317704443</v>
      </c>
      <c r="U276">
        <f t="shared" si="13"/>
        <v>-203618.23317704443</v>
      </c>
      <c r="V276">
        <v>3009170.4443229395</v>
      </c>
      <c r="W276">
        <v>1</v>
      </c>
      <c r="X276">
        <v>4228965.8269972131</v>
      </c>
      <c r="Y276">
        <v>3</v>
      </c>
      <c r="Z276">
        <f t="shared" si="14"/>
        <v>4.7718597709163396E-2</v>
      </c>
    </row>
    <row r="277" spans="1:26" x14ac:dyDescent="0.3">
      <c r="A277">
        <v>20230120</v>
      </c>
      <c r="B277" s="5">
        <v>44946</v>
      </c>
      <c r="C277">
        <v>849818.82421842555</v>
      </c>
      <c r="D277">
        <v>998878.33190001198</v>
      </c>
      <c r="E277" s="5">
        <v>44946</v>
      </c>
      <c r="F277" s="4">
        <v>20230120</v>
      </c>
      <c r="G277" s="5"/>
      <c r="H277" s="4">
        <v>1881782.221159996</v>
      </c>
      <c r="I277" s="4">
        <v>2814868.3355399799</v>
      </c>
      <c r="J277" s="4">
        <v>1655337.8656999979</v>
      </c>
      <c r="K277">
        <v>1917283.928420004</v>
      </c>
      <c r="L277" s="4">
        <v>984807.10120000003</v>
      </c>
      <c r="M277" s="4">
        <v>944788.27435999794</v>
      </c>
      <c r="N277" s="4">
        <v>1115970.6598199981</v>
      </c>
      <c r="O277" s="4">
        <v>1919344.7597999978</v>
      </c>
      <c r="P277" s="4">
        <v>3171599.2583999801</v>
      </c>
      <c r="Q277">
        <v>3807361.2516554827</v>
      </c>
      <c r="R277">
        <v>3</v>
      </c>
      <c r="S277" s="4">
        <v>0</v>
      </c>
      <c r="T277">
        <f t="shared" si="12"/>
        <v>90692.447167031467</v>
      </c>
      <c r="U277">
        <f t="shared" si="13"/>
        <v>-90689.447167031467</v>
      </c>
      <c r="V277">
        <v>3064653.7859603344</v>
      </c>
      <c r="W277">
        <v>4</v>
      </c>
      <c r="X277">
        <v>4332159.0436942801</v>
      </c>
      <c r="Y277">
        <v>3</v>
      </c>
      <c r="Z277">
        <f t="shared" si="14"/>
        <v>2.4401525318150798E-2</v>
      </c>
    </row>
    <row r="278" spans="1:26" x14ac:dyDescent="0.3">
      <c r="A278">
        <v>20230130</v>
      </c>
      <c r="B278" s="5">
        <v>44956</v>
      </c>
      <c r="C278">
        <v>840806.49558758922</v>
      </c>
      <c r="D278">
        <v>1003231.42570001</v>
      </c>
      <c r="E278" s="5">
        <v>44956</v>
      </c>
      <c r="F278" s="4">
        <v>20230130</v>
      </c>
      <c r="G278" s="5"/>
      <c r="H278" s="4">
        <v>1906346.4218199961</v>
      </c>
      <c r="I278" s="4">
        <v>2812606.10684</v>
      </c>
      <c r="J278" s="4">
        <v>1701664.2850799982</v>
      </c>
      <c r="K278">
        <v>1968499.2943200041</v>
      </c>
      <c r="L278" s="4">
        <v>996980.72031999996</v>
      </c>
      <c r="M278" s="4">
        <v>955221.28791999794</v>
      </c>
      <c r="N278" s="4">
        <v>1127405.147119998</v>
      </c>
      <c r="O278" s="4">
        <v>1988484.6460399982</v>
      </c>
      <c r="P278" s="4">
        <v>3252070.0291999797</v>
      </c>
      <c r="Q278">
        <v>3991889.5779568711</v>
      </c>
      <c r="R278">
        <v>3</v>
      </c>
      <c r="S278" s="4">
        <v>0</v>
      </c>
      <c r="T278">
        <f t="shared" si="12"/>
        <v>184528.32630138844</v>
      </c>
      <c r="U278">
        <f t="shared" si="13"/>
        <v>-184525.32630138844</v>
      </c>
      <c r="V278">
        <v>3179403.7876981171</v>
      </c>
      <c r="W278">
        <v>4</v>
      </c>
      <c r="X278">
        <v>4542122.2235100921</v>
      </c>
      <c r="Y278">
        <v>3</v>
      </c>
      <c r="Z278">
        <f t="shared" si="14"/>
        <v>4.8466175340775214E-2</v>
      </c>
    </row>
    <row r="279" spans="1:26" x14ac:dyDescent="0.3">
      <c r="A279">
        <v>20230131</v>
      </c>
      <c r="B279" s="5">
        <v>44957</v>
      </c>
      <c r="C279">
        <v>848696.62374218309</v>
      </c>
      <c r="D279">
        <v>1008694.36470001</v>
      </c>
      <c r="E279" s="5">
        <v>44957</v>
      </c>
      <c r="F279" s="4">
        <v>20230131</v>
      </c>
      <c r="G279" s="5"/>
      <c r="H279" s="4">
        <v>1927255.087359996</v>
      </c>
      <c r="I279" s="4">
        <v>2811150.5674799802</v>
      </c>
      <c r="J279" s="4">
        <v>1746861.2892199978</v>
      </c>
      <c r="K279">
        <v>1987091.9748200041</v>
      </c>
      <c r="L279" s="4">
        <v>999378.08857999998</v>
      </c>
      <c r="M279" s="4">
        <v>957504.34971999808</v>
      </c>
      <c r="N279" s="4">
        <v>1130587.8777199979</v>
      </c>
      <c r="O279" s="4">
        <v>2006725.3329599802</v>
      </c>
      <c r="P279" s="4">
        <v>3317271.43193998</v>
      </c>
      <c r="Q279">
        <v>4195328.7727877945</v>
      </c>
      <c r="R279">
        <v>1</v>
      </c>
      <c r="S279" s="4">
        <v>0</v>
      </c>
      <c r="T279">
        <f t="shared" si="12"/>
        <v>203439.19483092334</v>
      </c>
      <c r="U279">
        <f t="shared" si="13"/>
        <v>-203438.19483092334</v>
      </c>
      <c r="V279">
        <v>3260128.6630553212</v>
      </c>
      <c r="W279">
        <v>4</v>
      </c>
      <c r="X279">
        <v>4695534.4486162215</v>
      </c>
      <c r="Y279">
        <v>3</v>
      </c>
      <c r="Z279">
        <f t="shared" si="14"/>
        <v>3.3775450671949217E-2</v>
      </c>
    </row>
    <row r="280" spans="1:26" x14ac:dyDescent="0.3">
      <c r="A280">
        <v>20230201</v>
      </c>
      <c r="B280" s="5">
        <v>44958</v>
      </c>
      <c r="C280">
        <v>845693.08639075945</v>
      </c>
      <c r="D280">
        <v>1009349.68200001</v>
      </c>
      <c r="E280" s="5">
        <v>44958</v>
      </c>
      <c r="F280" s="4">
        <v>20230201</v>
      </c>
      <c r="G280" s="5"/>
      <c r="H280" s="4">
        <v>1908685.8810599979</v>
      </c>
      <c r="I280" s="4">
        <v>2786123.1371599799</v>
      </c>
      <c r="J280" s="4">
        <v>1725148.718459998</v>
      </c>
      <c r="K280">
        <v>2037113.48444</v>
      </c>
      <c r="L280" s="4">
        <v>994922.15307999996</v>
      </c>
      <c r="M280" s="4">
        <v>953642.33545999811</v>
      </c>
      <c r="N280" s="4">
        <v>1127280.785639998</v>
      </c>
      <c r="O280" s="4">
        <v>2044301.4972999799</v>
      </c>
      <c r="P280" s="4">
        <v>3314190.9580799798</v>
      </c>
      <c r="Q280">
        <v>4409320.2553704428</v>
      </c>
      <c r="R280">
        <v>1</v>
      </c>
      <c r="S280" s="4">
        <v>0</v>
      </c>
      <c r="T280">
        <f t="shared" si="12"/>
        <v>213991.48258264828</v>
      </c>
      <c r="U280">
        <f t="shared" si="13"/>
        <v>-213990.48258264828</v>
      </c>
      <c r="V280">
        <v>3426418.34724533</v>
      </c>
      <c r="W280">
        <v>1</v>
      </c>
      <c r="X280">
        <v>4842658.8647418171</v>
      </c>
      <c r="Y280">
        <v>3</v>
      </c>
      <c r="Z280">
        <f t="shared" si="14"/>
        <v>3.1332837131873938E-2</v>
      </c>
    </row>
    <row r="281" spans="1:26" x14ac:dyDescent="0.3">
      <c r="A281">
        <v>20230202</v>
      </c>
      <c r="B281" s="5">
        <v>44959</v>
      </c>
      <c r="C281">
        <v>837686.90994189808</v>
      </c>
      <c r="D281">
        <v>1006104.52940001</v>
      </c>
      <c r="E281" s="5">
        <v>44959</v>
      </c>
      <c r="F281" s="4">
        <v>20230202</v>
      </c>
      <c r="G281" s="5"/>
      <c r="H281" s="4">
        <v>1876701.5905999958</v>
      </c>
      <c r="I281" s="4">
        <v>2749922.0436799796</v>
      </c>
      <c r="J281" s="4">
        <v>1691958.8844199982</v>
      </c>
      <c r="K281">
        <v>2001010.97808</v>
      </c>
      <c r="L281" s="4">
        <v>984364.44913999992</v>
      </c>
      <c r="M281" s="4">
        <v>943483.59537999798</v>
      </c>
      <c r="N281" s="4">
        <v>1116863.886199998</v>
      </c>
      <c r="O281" s="4">
        <v>2018328.6840999802</v>
      </c>
      <c r="P281" s="4">
        <v>3265993.76693998</v>
      </c>
      <c r="Q281">
        <v>4334179.0041517131</v>
      </c>
      <c r="R281">
        <v>1</v>
      </c>
      <c r="S281" s="4">
        <v>0</v>
      </c>
      <c r="T281">
        <f t="shared" si="12"/>
        <v>-75141.251218729652</v>
      </c>
      <c r="U281">
        <f t="shared" si="13"/>
        <v>75142.251218729652</v>
      </c>
      <c r="V281">
        <v>3368027.2159149055</v>
      </c>
      <c r="W281">
        <v>1</v>
      </c>
      <c r="X281">
        <v>4791006.4354966218</v>
      </c>
      <c r="Y281">
        <v>3</v>
      </c>
      <c r="Z281">
        <f t="shared" si="14"/>
        <v>-1.0666130051254222E-2</v>
      </c>
    </row>
    <row r="282" spans="1:26" x14ac:dyDescent="0.3">
      <c r="A282">
        <v>20230203</v>
      </c>
      <c r="B282" s="5">
        <v>44960</v>
      </c>
      <c r="C282">
        <v>826599.28600190708</v>
      </c>
      <c r="D282">
        <v>997230.48900001205</v>
      </c>
      <c r="E282" s="5">
        <v>44960</v>
      </c>
      <c r="F282" s="4">
        <v>20230203</v>
      </c>
      <c r="G282" s="5"/>
      <c r="H282" s="4">
        <v>1895269.9157599979</v>
      </c>
      <c r="I282" s="4">
        <v>2780019.2168799797</v>
      </c>
      <c r="J282" s="4">
        <v>1718205.9715599981</v>
      </c>
      <c r="K282">
        <v>2057018.7996800002</v>
      </c>
      <c r="L282" s="4">
        <v>986984.8176999999</v>
      </c>
      <c r="M282" s="4">
        <v>947100.07571999799</v>
      </c>
      <c r="N282" s="4">
        <v>1122060.303399998</v>
      </c>
      <c r="O282" s="4">
        <v>2066326.1752999802</v>
      </c>
      <c r="P282" s="4">
        <v>3320759.1627599797</v>
      </c>
      <c r="Q282">
        <v>4252037.9584276555</v>
      </c>
      <c r="R282">
        <v>1</v>
      </c>
      <c r="S282" s="4">
        <v>0</v>
      </c>
      <c r="T282">
        <f t="shared" si="12"/>
        <v>-82141.045724057592</v>
      </c>
      <c r="U282">
        <f t="shared" si="13"/>
        <v>82142.045724057592</v>
      </c>
      <c r="V282">
        <v>3304196.5989506068</v>
      </c>
      <c r="W282">
        <v>1</v>
      </c>
      <c r="X282">
        <v>4716623.5879226001</v>
      </c>
      <c r="Y282">
        <v>3</v>
      </c>
      <c r="Z282">
        <f t="shared" si="14"/>
        <v>-1.5525516105116932E-2</v>
      </c>
    </row>
    <row r="283" spans="1:26" x14ac:dyDescent="0.3">
      <c r="A283">
        <v>20230206</v>
      </c>
      <c r="B283" s="5">
        <v>44963</v>
      </c>
      <c r="C283">
        <v>828073.93912813463</v>
      </c>
      <c r="D283">
        <v>1001075.5402000099</v>
      </c>
      <c r="E283" s="5">
        <v>44963</v>
      </c>
      <c r="F283" s="4">
        <v>20230206</v>
      </c>
      <c r="G283" s="5"/>
      <c r="H283" s="4">
        <v>1891875.4413399962</v>
      </c>
      <c r="I283" s="4">
        <v>2761236.79433998</v>
      </c>
      <c r="J283" s="4">
        <v>1703244.067619998</v>
      </c>
      <c r="K283">
        <v>2027638.9510400002</v>
      </c>
      <c r="L283" s="4">
        <v>979408.08180000004</v>
      </c>
      <c r="M283" s="4">
        <v>939814.55979999807</v>
      </c>
      <c r="N283" s="4">
        <v>1112691.6371999981</v>
      </c>
      <c r="O283" s="4">
        <v>2035176.8531399802</v>
      </c>
      <c r="P283" s="4">
        <v>3278253.6977599799</v>
      </c>
      <c r="Q283">
        <v>4374145.6430212557</v>
      </c>
      <c r="R283">
        <v>3</v>
      </c>
      <c r="S283" s="4">
        <v>0</v>
      </c>
      <c r="T283">
        <f t="shared" si="12"/>
        <v>122107.68459360022</v>
      </c>
      <c r="U283">
        <f t="shared" si="13"/>
        <v>-122104.68459360022</v>
      </c>
      <c r="V283">
        <v>3359618.3904750259</v>
      </c>
      <c r="W283">
        <v>4</v>
      </c>
      <c r="X283">
        <v>4661173.6856338261</v>
      </c>
      <c r="Y283">
        <v>1</v>
      </c>
      <c r="Z283">
        <f t="shared" si="14"/>
        <v>-1.1756270402997433E-2</v>
      </c>
    </row>
    <row r="284" spans="1:26" x14ac:dyDescent="0.3">
      <c r="A284">
        <v>20230207</v>
      </c>
      <c r="B284" s="5">
        <v>44964</v>
      </c>
      <c r="C284">
        <v>824401.43120810133</v>
      </c>
      <c r="D284">
        <v>993884.66150001204</v>
      </c>
      <c r="E284" s="5">
        <v>44964</v>
      </c>
      <c r="F284" s="4">
        <v>20230207</v>
      </c>
      <c r="G284" s="5"/>
      <c r="H284" s="4">
        <v>1944442.6565599958</v>
      </c>
      <c r="I284" s="4">
        <v>2837975.0153999804</v>
      </c>
      <c r="J284" s="4">
        <v>1737267.254899998</v>
      </c>
      <c r="K284">
        <v>2055546.5277399998</v>
      </c>
      <c r="L284" s="4">
        <v>995541.56738000014</v>
      </c>
      <c r="M284" s="4">
        <v>954656.18285999796</v>
      </c>
      <c r="N284" s="4">
        <v>1132432.2603599981</v>
      </c>
      <c r="O284" s="4">
        <v>2094416.6654199802</v>
      </c>
      <c r="P284" s="4">
        <v>3292604.0064399801</v>
      </c>
      <c r="Q284">
        <v>4311989.596060426</v>
      </c>
      <c r="R284">
        <v>3</v>
      </c>
      <c r="S284" s="4">
        <v>0</v>
      </c>
      <c r="T284">
        <f t="shared" si="12"/>
        <v>-62156.046960829757</v>
      </c>
      <c r="U284">
        <f t="shared" si="13"/>
        <v>62159.046960829757</v>
      </c>
      <c r="V284">
        <v>3316600.5017706752</v>
      </c>
      <c r="W284">
        <v>4</v>
      </c>
      <c r="X284">
        <v>4624112.5477505149</v>
      </c>
      <c r="Y284">
        <v>1</v>
      </c>
      <c r="Z284">
        <f t="shared" si="14"/>
        <v>-7.9510313030250381E-3</v>
      </c>
    </row>
    <row r="285" spans="1:26" x14ac:dyDescent="0.3">
      <c r="A285">
        <v>20230208</v>
      </c>
      <c r="B285" s="5">
        <v>44965</v>
      </c>
      <c r="C285">
        <v>835454.18119630835</v>
      </c>
      <c r="D285">
        <v>1008160.06950001</v>
      </c>
      <c r="E285" s="5">
        <v>44965</v>
      </c>
      <c r="F285" s="4">
        <v>20230208</v>
      </c>
      <c r="G285" s="5"/>
      <c r="H285" s="4">
        <v>1899018.831699996</v>
      </c>
      <c r="I285" s="4">
        <v>2771703.0376999797</v>
      </c>
      <c r="J285" s="4">
        <v>1697284.289799998</v>
      </c>
      <c r="K285">
        <v>2023355.8874400002</v>
      </c>
      <c r="L285" s="4">
        <v>996049.24638000003</v>
      </c>
      <c r="M285" s="4">
        <v>955090.23643999803</v>
      </c>
      <c r="N285" s="4">
        <v>1134628.798759996</v>
      </c>
      <c r="O285" s="4">
        <v>2064741.43257998</v>
      </c>
      <c r="P285" s="4">
        <v>3245937.1627599797</v>
      </c>
      <c r="Q285">
        <v>4319659.895135399</v>
      </c>
      <c r="R285">
        <v>3</v>
      </c>
      <c r="S285" s="4">
        <v>0</v>
      </c>
      <c r="T285">
        <f t="shared" si="12"/>
        <v>7670.2990749729797</v>
      </c>
      <c r="U285">
        <f t="shared" si="13"/>
        <v>-7667.2990749729797</v>
      </c>
      <c r="V285">
        <v>3316600.5017706752</v>
      </c>
      <c r="W285">
        <v>0</v>
      </c>
      <c r="X285">
        <v>4558257.0460506994</v>
      </c>
      <c r="Y285">
        <v>1</v>
      </c>
      <c r="Z285">
        <f t="shared" si="14"/>
        <v>-1.4241760125810981E-2</v>
      </c>
    </row>
    <row r="286" spans="1:26" x14ac:dyDescent="0.3">
      <c r="A286">
        <v>20230209</v>
      </c>
      <c r="B286" s="5">
        <v>44966</v>
      </c>
      <c r="C286">
        <v>830476.54518474068</v>
      </c>
      <c r="D286">
        <v>1008383.09600001</v>
      </c>
      <c r="E286" s="5">
        <v>44966</v>
      </c>
      <c r="F286" s="4">
        <v>20230209</v>
      </c>
      <c r="G286" s="5"/>
      <c r="H286" s="4">
        <v>1906313.6772599961</v>
      </c>
      <c r="I286" s="4">
        <v>2782355.12279998</v>
      </c>
      <c r="J286" s="4">
        <v>1718493.427539998</v>
      </c>
      <c r="K286">
        <v>2063767.5792399999</v>
      </c>
      <c r="L286" s="4">
        <v>1008132.9545600001</v>
      </c>
      <c r="M286" s="4">
        <v>965787.19179999793</v>
      </c>
      <c r="N286" s="4">
        <v>1147849.8346799961</v>
      </c>
      <c r="O286" s="4">
        <v>2072673.1901599797</v>
      </c>
      <c r="P286" s="4">
        <v>3356869.8685999801</v>
      </c>
      <c r="Q286">
        <v>4258415.8503286708</v>
      </c>
      <c r="R286">
        <v>4</v>
      </c>
      <c r="S286" s="4">
        <v>0</v>
      </c>
      <c r="T286">
        <f t="shared" si="12"/>
        <v>-61244.04480672814</v>
      </c>
      <c r="U286">
        <f t="shared" si="13"/>
        <v>61248.04480672814</v>
      </c>
      <c r="V286">
        <v>3248692.9491221751</v>
      </c>
      <c r="W286">
        <v>1</v>
      </c>
      <c r="X286">
        <v>4464926.9539157981</v>
      </c>
      <c r="Y286">
        <v>1</v>
      </c>
      <c r="Z286">
        <f t="shared" si="14"/>
        <v>-2.0474951542226665E-2</v>
      </c>
    </row>
    <row r="287" spans="1:26" x14ac:dyDescent="0.3">
      <c r="A287">
        <v>20230210</v>
      </c>
      <c r="B287" s="5">
        <v>44967</v>
      </c>
      <c r="C287">
        <v>837999.83220756915</v>
      </c>
      <c r="D287">
        <v>1018165.75480001</v>
      </c>
      <c r="E287" s="5">
        <v>44967</v>
      </c>
      <c r="F287" s="4">
        <v>20230210</v>
      </c>
      <c r="G287" s="5"/>
      <c r="H287" s="4">
        <v>1937635.0522999961</v>
      </c>
      <c r="I287" s="4">
        <v>2793721.4750199798</v>
      </c>
      <c r="J287" s="4">
        <v>1714941.7246999978</v>
      </c>
      <c r="K287">
        <v>2076231.25346</v>
      </c>
      <c r="L287" s="4">
        <v>1009858.5557</v>
      </c>
      <c r="M287" s="4">
        <v>969117.26233999804</v>
      </c>
      <c r="N287" s="4">
        <v>1152260.4175199959</v>
      </c>
      <c r="O287" s="4">
        <v>2090148.8929999799</v>
      </c>
      <c r="P287" s="4">
        <v>3382885.51387998</v>
      </c>
      <c r="Q287">
        <v>4404016.3748930674</v>
      </c>
      <c r="R287">
        <v>4</v>
      </c>
      <c r="S287" s="4">
        <v>0</v>
      </c>
      <c r="T287">
        <f t="shared" si="12"/>
        <v>145600.52456439659</v>
      </c>
      <c r="U287">
        <f t="shared" si="13"/>
        <v>-145596.52456439659</v>
      </c>
      <c r="V287">
        <v>3237373.4003569582</v>
      </c>
      <c r="W287">
        <v>1</v>
      </c>
      <c r="X287">
        <v>4449369.6453671698</v>
      </c>
      <c r="Y287">
        <v>1</v>
      </c>
      <c r="Z287">
        <f t="shared" si="14"/>
        <v>-3.4843366328724357E-3</v>
      </c>
    </row>
    <row r="288" spans="1:26" x14ac:dyDescent="0.3">
      <c r="A288">
        <v>20230213</v>
      </c>
      <c r="B288" s="5">
        <v>44970</v>
      </c>
      <c r="C288">
        <v>838333.35614078795</v>
      </c>
      <c r="D288">
        <v>1021292.84130001</v>
      </c>
      <c r="E288" s="5">
        <v>44970</v>
      </c>
      <c r="F288" s="4">
        <v>20230213</v>
      </c>
      <c r="G288" s="5"/>
      <c r="H288" s="4">
        <v>1919643.568179996</v>
      </c>
      <c r="I288" s="4">
        <v>2772442.9053599802</v>
      </c>
      <c r="J288" s="4">
        <v>1755690.85678</v>
      </c>
      <c r="K288">
        <v>2065574.5398200001</v>
      </c>
      <c r="L288" s="4">
        <v>1007027.5776799999</v>
      </c>
      <c r="M288" s="4">
        <v>966440.10285999789</v>
      </c>
      <c r="N288" s="4">
        <v>1151464.9164999961</v>
      </c>
      <c r="O288" s="4">
        <v>2079728.7416599798</v>
      </c>
      <c r="P288" s="4">
        <v>3365924.2746199802</v>
      </c>
      <c r="Q288">
        <v>4438158.555942215</v>
      </c>
      <c r="R288">
        <v>4</v>
      </c>
      <c r="S288" s="4">
        <v>0</v>
      </c>
      <c r="T288">
        <f t="shared" si="12"/>
        <v>34142.181049147621</v>
      </c>
      <c r="U288">
        <f t="shared" si="13"/>
        <v>-34138.181049147621</v>
      </c>
      <c r="V288">
        <v>3243081.9696815722</v>
      </c>
      <c r="W288">
        <v>3</v>
      </c>
      <c r="X288">
        <v>4417669.1543188877</v>
      </c>
      <c r="Y288">
        <v>1</v>
      </c>
      <c r="Z288">
        <f t="shared" si="14"/>
        <v>-7.1247150888642408E-3</v>
      </c>
    </row>
    <row r="289" spans="1:26" x14ac:dyDescent="0.3">
      <c r="A289">
        <v>20230214</v>
      </c>
      <c r="B289" s="5">
        <v>44971</v>
      </c>
      <c r="C289">
        <v>833951.38768823992</v>
      </c>
      <c r="D289">
        <v>1016783.0635000099</v>
      </c>
      <c r="E289" s="5">
        <v>44971</v>
      </c>
      <c r="F289" s="4">
        <v>20230214</v>
      </c>
      <c r="G289" s="5"/>
      <c r="H289" s="4">
        <v>1856389.0581999961</v>
      </c>
      <c r="I289" s="4">
        <v>2690474.9764199802</v>
      </c>
      <c r="J289" s="4">
        <v>1760727.0969799999</v>
      </c>
      <c r="K289">
        <v>2002462.7910999998</v>
      </c>
      <c r="L289" s="4">
        <v>983080.55330000003</v>
      </c>
      <c r="M289" s="4">
        <v>946778.47911999805</v>
      </c>
      <c r="N289" s="4">
        <v>1127283.565159996</v>
      </c>
      <c r="O289" s="4">
        <v>2013980.0144199799</v>
      </c>
      <c r="P289" s="4">
        <v>3258030.2521799798</v>
      </c>
      <c r="Q289">
        <v>4387009.4477337087</v>
      </c>
      <c r="R289">
        <v>2</v>
      </c>
      <c r="S289" s="4">
        <v>0</v>
      </c>
      <c r="T289">
        <f t="shared" si="12"/>
        <v>-51149.108208506368</v>
      </c>
      <c r="U289">
        <f t="shared" si="13"/>
        <v>51151.108208506368</v>
      </c>
      <c r="V289">
        <v>3217265.4738585195</v>
      </c>
      <c r="W289">
        <v>3</v>
      </c>
      <c r="X289">
        <v>4316730.2062021447</v>
      </c>
      <c r="Y289">
        <v>1</v>
      </c>
      <c r="Z289">
        <f t="shared" si="14"/>
        <v>-2.2848915251623383E-2</v>
      </c>
    </row>
    <row r="290" spans="1:26" x14ac:dyDescent="0.3">
      <c r="A290">
        <v>20230215</v>
      </c>
      <c r="B290" s="5">
        <v>44972</v>
      </c>
      <c r="C290">
        <v>827830.18450260826</v>
      </c>
      <c r="D290">
        <v>996282.61130001303</v>
      </c>
      <c r="E290" s="5">
        <v>44972</v>
      </c>
      <c r="F290" s="4">
        <v>20230215</v>
      </c>
      <c r="G290" s="5"/>
      <c r="H290" s="4">
        <v>1884392.7832399961</v>
      </c>
      <c r="I290" s="4">
        <v>2733136.1921599801</v>
      </c>
      <c r="J290" s="4">
        <v>1765636.4939599999</v>
      </c>
      <c r="K290">
        <v>1986828.6625000041</v>
      </c>
      <c r="L290" s="4">
        <v>975550.17038000003</v>
      </c>
      <c r="M290" s="4">
        <v>939348.59705999796</v>
      </c>
      <c r="N290" s="4">
        <v>1124062.5096399959</v>
      </c>
      <c r="O290" s="4">
        <v>2038521.0795999798</v>
      </c>
      <c r="P290" s="4">
        <v>3225973.2513799802</v>
      </c>
      <c r="Q290">
        <v>4242718.986285382</v>
      </c>
      <c r="R290">
        <v>2</v>
      </c>
      <c r="S290" s="4">
        <v>0</v>
      </c>
      <c r="T290">
        <f t="shared" si="12"/>
        <v>-144290.46144832671</v>
      </c>
      <c r="U290">
        <f t="shared" si="13"/>
        <v>144292.46144832671</v>
      </c>
      <c r="V290">
        <v>3127592.866954796</v>
      </c>
      <c r="W290">
        <v>3</v>
      </c>
      <c r="X290">
        <v>4204276.039329743</v>
      </c>
      <c r="Y290">
        <v>1</v>
      </c>
      <c r="Z290">
        <f t="shared" si="14"/>
        <v>-2.6050774892262447E-2</v>
      </c>
    </row>
    <row r="291" spans="1:26" x14ac:dyDescent="0.3">
      <c r="A291">
        <v>20230216</v>
      </c>
      <c r="B291" s="5">
        <v>44973</v>
      </c>
      <c r="C291">
        <v>815889.56192134263</v>
      </c>
      <c r="D291">
        <v>988047.85150001303</v>
      </c>
      <c r="E291" s="5">
        <v>44973</v>
      </c>
      <c r="F291" s="4">
        <v>20230216</v>
      </c>
      <c r="G291" s="5"/>
      <c r="H291" s="4">
        <v>1918334.6898399959</v>
      </c>
      <c r="I291" s="4">
        <v>2786468.7868599799</v>
      </c>
      <c r="J291" s="4">
        <v>1776781.7259399998</v>
      </c>
      <c r="K291">
        <v>1988424.7784800041</v>
      </c>
      <c r="L291" s="4">
        <v>995268.56549999991</v>
      </c>
      <c r="M291" s="4">
        <v>958704.44953999796</v>
      </c>
      <c r="N291" s="4">
        <v>1147088.654719996</v>
      </c>
      <c r="O291" s="4">
        <v>2079372.7620799798</v>
      </c>
      <c r="P291" s="4">
        <v>3295958.9016399803</v>
      </c>
      <c r="Q291">
        <v>4218746.8599303514</v>
      </c>
      <c r="R291">
        <v>3</v>
      </c>
      <c r="S291" s="4">
        <v>0</v>
      </c>
      <c r="T291">
        <f t="shared" si="12"/>
        <v>-23972.126355030574</v>
      </c>
      <c r="U291">
        <f t="shared" si="13"/>
        <v>23975.126355030574</v>
      </c>
      <c r="V291">
        <v>3088378.6627559541</v>
      </c>
      <c r="W291">
        <v>1</v>
      </c>
      <c r="X291">
        <v>4178516.8541136612</v>
      </c>
      <c r="Y291">
        <v>2</v>
      </c>
      <c r="Z291">
        <f t="shared" si="14"/>
        <v>-6.1269015105364947E-3</v>
      </c>
    </row>
    <row r="292" spans="1:26" x14ac:dyDescent="0.3">
      <c r="A292">
        <v>20230217</v>
      </c>
      <c r="B292" s="5">
        <v>44974</v>
      </c>
      <c r="C292">
        <v>835893.54220053018</v>
      </c>
      <c r="D292">
        <v>1007430.90190001</v>
      </c>
      <c r="E292" s="5">
        <v>44974</v>
      </c>
      <c r="F292" s="4">
        <v>20230217</v>
      </c>
      <c r="G292" s="5"/>
      <c r="H292" s="4">
        <v>1953321.1291999959</v>
      </c>
      <c r="I292" s="4">
        <v>2853952.71807998</v>
      </c>
      <c r="J292" s="4">
        <v>1799585.8650600002</v>
      </c>
      <c r="K292">
        <v>2089099.46052</v>
      </c>
      <c r="L292" s="4">
        <v>1012035.33312</v>
      </c>
      <c r="M292" s="4">
        <v>973157.57735999802</v>
      </c>
      <c r="N292" s="4">
        <v>1164561.6090399961</v>
      </c>
      <c r="O292" s="4">
        <v>2184644.67697998</v>
      </c>
      <c r="P292" s="4">
        <v>3373926.9588999799</v>
      </c>
      <c r="Q292">
        <v>4310311.3580871364</v>
      </c>
      <c r="R292">
        <v>4</v>
      </c>
      <c r="S292" s="4">
        <v>0</v>
      </c>
      <c r="T292">
        <f t="shared" si="12"/>
        <v>91564.498156785034</v>
      </c>
      <c r="U292">
        <f t="shared" si="13"/>
        <v>-91560.498156785034</v>
      </c>
      <c r="V292">
        <v>3192785.0996617563</v>
      </c>
      <c r="W292">
        <v>1</v>
      </c>
      <c r="X292">
        <v>4313895.9156074543</v>
      </c>
      <c r="Y292">
        <v>2</v>
      </c>
      <c r="Z292">
        <f t="shared" si="14"/>
        <v>3.2398831025538456E-2</v>
      </c>
    </row>
    <row r="293" spans="1:26" x14ac:dyDescent="0.3">
      <c r="A293">
        <v>20230220</v>
      </c>
      <c r="B293" s="5">
        <v>44977</v>
      </c>
      <c r="C293">
        <v>838076.89613275789</v>
      </c>
      <c r="D293">
        <v>1022396.50690001</v>
      </c>
      <c r="E293" s="5">
        <v>44977</v>
      </c>
      <c r="F293" s="4">
        <v>20230220</v>
      </c>
      <c r="G293" s="5"/>
      <c r="H293" s="4">
        <v>1966765.2879199958</v>
      </c>
      <c r="I293" s="4">
        <v>2873591.4861399801</v>
      </c>
      <c r="J293" s="4">
        <v>1810216.4915399998</v>
      </c>
      <c r="K293">
        <v>2115432.0925599998</v>
      </c>
      <c r="L293" s="4">
        <v>1016576.07226</v>
      </c>
      <c r="M293" s="4">
        <v>976697.23563999799</v>
      </c>
      <c r="N293" s="4">
        <v>1163989.852219996</v>
      </c>
      <c r="O293" s="4">
        <v>2210066.9434799803</v>
      </c>
      <c r="P293" s="4">
        <v>3361994.5327399797</v>
      </c>
      <c r="Q293">
        <v>4412322.5471114963</v>
      </c>
      <c r="R293">
        <v>4</v>
      </c>
      <c r="S293" s="4">
        <v>0</v>
      </c>
      <c r="T293">
        <f t="shared" si="12"/>
        <v>102011.18902435992</v>
      </c>
      <c r="U293">
        <f t="shared" si="13"/>
        <v>-102007.18902435992</v>
      </c>
      <c r="V293">
        <v>3506965.7328067031</v>
      </c>
      <c r="W293">
        <v>1</v>
      </c>
      <c r="X293">
        <v>4503539.9600394303</v>
      </c>
      <c r="Y293">
        <v>2</v>
      </c>
      <c r="Z293">
        <f t="shared" si="14"/>
        <v>4.3961200766539962E-2</v>
      </c>
    </row>
    <row r="294" spans="1:26" x14ac:dyDescent="0.3">
      <c r="A294">
        <v>20230221</v>
      </c>
      <c r="B294" s="5">
        <v>44978</v>
      </c>
      <c r="C294">
        <v>830499.8429148217</v>
      </c>
      <c r="D294">
        <v>1024582.26680001</v>
      </c>
      <c r="E294" s="5">
        <v>44978</v>
      </c>
      <c r="F294" s="4">
        <v>20230221</v>
      </c>
      <c r="G294" s="5"/>
      <c r="H294" s="4">
        <v>1991551.0717999961</v>
      </c>
      <c r="I294" s="4">
        <v>2889714.4020599802</v>
      </c>
      <c r="J294" s="4">
        <v>1781753.99762</v>
      </c>
      <c r="K294">
        <v>2116767.54482</v>
      </c>
      <c r="L294" s="4">
        <v>1000375.72382</v>
      </c>
      <c r="M294" s="4">
        <v>960995.20607999805</v>
      </c>
      <c r="N294" s="4">
        <v>1145265.9710799961</v>
      </c>
      <c r="O294" s="4">
        <v>2211467.3719599796</v>
      </c>
      <c r="P294" s="4">
        <v>3404369.2400799803</v>
      </c>
      <c r="Q294">
        <v>4409000.3942916449</v>
      </c>
      <c r="R294">
        <v>1</v>
      </c>
      <c r="S294" s="4">
        <v>0</v>
      </c>
      <c r="T294">
        <f t="shared" si="12"/>
        <v>-3322.1528198514134</v>
      </c>
      <c r="U294">
        <f t="shared" si="13"/>
        <v>3323.1528198514134</v>
      </c>
      <c r="V294">
        <v>3494554.6367827714</v>
      </c>
      <c r="W294">
        <v>4</v>
      </c>
      <c r="X294">
        <v>4475785.5105802575</v>
      </c>
      <c r="Y294">
        <v>2</v>
      </c>
      <c r="Z294">
        <f t="shared" si="14"/>
        <v>-6.1628074149318269E-3</v>
      </c>
    </row>
    <row r="295" spans="1:26" x14ac:dyDescent="0.3">
      <c r="A295">
        <v>20230222</v>
      </c>
      <c r="B295" s="5">
        <v>44979</v>
      </c>
      <c r="C295">
        <v>829818.00254378864</v>
      </c>
      <c r="D295">
        <v>1010374.95470001</v>
      </c>
      <c r="E295" s="5">
        <v>44979</v>
      </c>
      <c r="F295" s="4">
        <v>20230222</v>
      </c>
      <c r="G295" s="5"/>
      <c r="H295" s="4">
        <v>1992617.8055999961</v>
      </c>
      <c r="I295" s="4">
        <v>2918811.7640599799</v>
      </c>
      <c r="J295" s="4">
        <v>1803957.1126200003</v>
      </c>
      <c r="K295">
        <v>2138495.8532000002</v>
      </c>
      <c r="L295" s="4">
        <v>999108.44932000001</v>
      </c>
      <c r="M295" s="4">
        <v>958281.56593999802</v>
      </c>
      <c r="N295" s="4">
        <v>1145170.6523799959</v>
      </c>
      <c r="O295" s="4">
        <v>2201747.6063199798</v>
      </c>
      <c r="P295" s="4">
        <v>3402314.02495998</v>
      </c>
      <c r="Q295">
        <v>4401945.9951516455</v>
      </c>
      <c r="R295">
        <v>1</v>
      </c>
      <c r="S295" s="4">
        <v>0</v>
      </c>
      <c r="T295">
        <f t="shared" si="12"/>
        <v>-7054.399139999412</v>
      </c>
      <c r="U295">
        <f t="shared" si="13"/>
        <v>7055.399139999412</v>
      </c>
      <c r="V295">
        <v>3538644.0076560942</v>
      </c>
      <c r="W295">
        <v>4</v>
      </c>
      <c r="X295">
        <v>4531167.5264586061</v>
      </c>
      <c r="Y295">
        <v>2</v>
      </c>
      <c r="Z295">
        <f t="shared" si="14"/>
        <v>1.2373697476662299E-2</v>
      </c>
    </row>
    <row r="296" spans="1:26" x14ac:dyDescent="0.3">
      <c r="A296">
        <v>20230223</v>
      </c>
      <c r="B296" s="5">
        <v>44980</v>
      </c>
      <c r="C296">
        <v>821190.38477134088</v>
      </c>
      <c r="D296">
        <v>1008412.92970001</v>
      </c>
      <c r="E296" s="5">
        <v>44980</v>
      </c>
      <c r="F296" s="4">
        <v>20230223</v>
      </c>
      <c r="G296" s="5"/>
      <c r="H296" s="4">
        <v>2016663.2006799798</v>
      </c>
      <c r="I296" s="4">
        <v>2909259.75195998</v>
      </c>
      <c r="J296" s="4">
        <v>1776375.3171000001</v>
      </c>
      <c r="K296">
        <v>2143552.1123199998</v>
      </c>
      <c r="L296" s="4">
        <v>993742.32559999987</v>
      </c>
      <c r="M296" s="4">
        <v>952435.17051999795</v>
      </c>
      <c r="N296" s="4">
        <v>1141522.424279996</v>
      </c>
      <c r="O296" s="4">
        <v>2204597.3599999798</v>
      </c>
      <c r="P296" s="4">
        <v>3388354.3827599799</v>
      </c>
      <c r="Q296">
        <v>4414615.6735489843</v>
      </c>
      <c r="R296">
        <v>3</v>
      </c>
      <c r="S296" s="4">
        <v>0</v>
      </c>
      <c r="T296">
        <f t="shared" si="12"/>
        <v>12669.678397338837</v>
      </c>
      <c r="U296">
        <f t="shared" si="13"/>
        <v>-12666.678397338837</v>
      </c>
      <c r="V296">
        <v>3548828.9776978861</v>
      </c>
      <c r="W296">
        <v>3</v>
      </c>
      <c r="X296">
        <v>4680136.2843748098</v>
      </c>
      <c r="Y296">
        <v>2</v>
      </c>
      <c r="Z296">
        <f t="shared" si="14"/>
        <v>3.28764622023658E-2</v>
      </c>
    </row>
    <row r="297" spans="1:26" x14ac:dyDescent="0.3">
      <c r="A297">
        <v>20230224</v>
      </c>
      <c r="B297" s="5">
        <v>44981</v>
      </c>
      <c r="C297">
        <v>817698.68325529317</v>
      </c>
      <c r="D297">
        <v>1002481.8344000099</v>
      </c>
      <c r="E297" s="5">
        <v>44981</v>
      </c>
      <c r="F297" s="4">
        <v>20230224</v>
      </c>
      <c r="G297" s="5"/>
      <c r="H297" s="4">
        <v>2044908.64175998</v>
      </c>
      <c r="I297" s="4">
        <v>2917721.13575998</v>
      </c>
      <c r="J297" s="4">
        <v>1789104.27174</v>
      </c>
      <c r="K297">
        <v>2157090.0265199998</v>
      </c>
      <c r="L297" s="4">
        <v>1002287.5422800001</v>
      </c>
      <c r="M297" s="4">
        <v>960553.29351999797</v>
      </c>
      <c r="N297" s="4">
        <v>1155398.8451599958</v>
      </c>
      <c r="O297" s="4">
        <v>2259198.6006999803</v>
      </c>
      <c r="P297" s="4">
        <v>3410840.0932799801</v>
      </c>
      <c r="Q297">
        <v>4432663.7287871679</v>
      </c>
      <c r="R297">
        <v>3</v>
      </c>
      <c r="S297" s="4">
        <v>0</v>
      </c>
      <c r="T297">
        <f t="shared" si="12"/>
        <v>18048.055238183588</v>
      </c>
      <c r="U297">
        <f t="shared" si="13"/>
        <v>-18045.055238183588</v>
      </c>
      <c r="V297">
        <v>3637015.8863234152</v>
      </c>
      <c r="W297">
        <v>1</v>
      </c>
      <c r="X297">
        <v>4747541.8830702985</v>
      </c>
      <c r="Y297">
        <v>2</v>
      </c>
      <c r="Z297">
        <f t="shared" si="14"/>
        <v>1.4402486295223973E-2</v>
      </c>
    </row>
    <row r="298" spans="1:26" x14ac:dyDescent="0.3">
      <c r="A298">
        <v>20230227</v>
      </c>
      <c r="B298" s="5">
        <v>44984</v>
      </c>
      <c r="C298">
        <v>822864.90353610017</v>
      </c>
      <c r="D298">
        <v>1010525.88460001</v>
      </c>
      <c r="E298" s="5">
        <v>44984</v>
      </c>
      <c r="F298" s="4">
        <v>20230227</v>
      </c>
      <c r="G298" s="5"/>
      <c r="H298" s="4">
        <v>2030640.3336999801</v>
      </c>
      <c r="I298" s="4">
        <v>2903379.7302399799</v>
      </c>
      <c r="J298" s="4">
        <v>1788697.0317800001</v>
      </c>
      <c r="K298">
        <v>2189450.15778</v>
      </c>
      <c r="L298" s="4">
        <v>1005999.43056</v>
      </c>
      <c r="M298" s="4">
        <v>963948.38091999793</v>
      </c>
      <c r="N298" s="4">
        <v>1161056.031219996</v>
      </c>
      <c r="O298" s="4">
        <v>2258264.08017998</v>
      </c>
      <c r="P298" s="4">
        <v>3385898.1326199798</v>
      </c>
      <c r="Q298">
        <v>4492271.1510981135</v>
      </c>
      <c r="R298">
        <v>3</v>
      </c>
      <c r="S298" s="4">
        <v>0</v>
      </c>
      <c r="T298">
        <f t="shared" si="12"/>
        <v>59607.422310945578</v>
      </c>
      <c r="U298">
        <f t="shared" si="13"/>
        <v>-59604.422310945578</v>
      </c>
      <c r="V298">
        <v>3654575.9097639346</v>
      </c>
      <c r="W298">
        <v>1</v>
      </c>
      <c r="X298">
        <v>4748006.2881443556</v>
      </c>
      <c r="Y298">
        <v>2</v>
      </c>
      <c r="Z298">
        <f t="shared" si="14"/>
        <v>9.782011101644717E-5</v>
      </c>
    </row>
    <row r="299" spans="1:26" x14ac:dyDescent="0.3">
      <c r="A299">
        <v>20230228</v>
      </c>
      <c r="B299" s="5">
        <v>44985</v>
      </c>
      <c r="C299">
        <v>834474.70446009096</v>
      </c>
      <c r="D299">
        <v>1013074.41710001</v>
      </c>
      <c r="E299" s="5">
        <v>44985</v>
      </c>
      <c r="F299" s="4">
        <v>20230228</v>
      </c>
      <c r="G299" s="5"/>
      <c r="H299" s="4">
        <v>1973682.1578999958</v>
      </c>
      <c r="I299" s="4">
        <v>2833570.46899998</v>
      </c>
      <c r="J299" s="4">
        <v>1747408.4642400001</v>
      </c>
      <c r="K299">
        <v>2180686.3474599998</v>
      </c>
      <c r="L299" s="4">
        <v>1000944.56186</v>
      </c>
      <c r="M299" s="4">
        <v>958607.74121999799</v>
      </c>
      <c r="N299" s="4">
        <v>1155333.772559996</v>
      </c>
      <c r="O299" s="4">
        <v>2211608.2333799801</v>
      </c>
      <c r="P299" s="4">
        <v>3365420.5728799799</v>
      </c>
      <c r="Q299">
        <v>4459387.6646215199</v>
      </c>
      <c r="R299">
        <v>4</v>
      </c>
      <c r="S299" s="4">
        <v>0</v>
      </c>
      <c r="T299">
        <f t="shared" si="12"/>
        <v>-32883.486476593651</v>
      </c>
      <c r="U299">
        <f t="shared" si="13"/>
        <v>32887.486476593651</v>
      </c>
      <c r="V299">
        <v>3674910.9746483965</v>
      </c>
      <c r="W299">
        <v>1</v>
      </c>
      <c r="X299">
        <v>4729813.0207771882</v>
      </c>
      <c r="Y299">
        <v>3</v>
      </c>
      <c r="Z299">
        <f t="shared" si="14"/>
        <v>-3.8317698551906931E-3</v>
      </c>
    </row>
    <row r="300" spans="1:26" x14ac:dyDescent="0.3">
      <c r="A300">
        <v>20230301</v>
      </c>
      <c r="B300" s="5">
        <v>44986</v>
      </c>
      <c r="C300">
        <v>832600.47427387361</v>
      </c>
      <c r="D300">
        <v>1009676.58840001</v>
      </c>
      <c r="E300" s="5">
        <v>44986</v>
      </c>
      <c r="F300" s="4">
        <v>20230301</v>
      </c>
      <c r="G300" s="5"/>
      <c r="H300" s="4">
        <v>1970159.4963999961</v>
      </c>
      <c r="I300" s="4">
        <v>2817738.9823199799</v>
      </c>
      <c r="J300" s="4">
        <v>1735973.92848</v>
      </c>
      <c r="K300">
        <v>2173421.35684</v>
      </c>
      <c r="L300" s="4">
        <v>992420.44115999993</v>
      </c>
      <c r="M300" s="4">
        <v>950411.37435999792</v>
      </c>
      <c r="N300" s="4">
        <v>1147311.6482199959</v>
      </c>
      <c r="O300" s="4">
        <v>2199250.4934799802</v>
      </c>
      <c r="P300" s="4">
        <v>3377496.6696999995</v>
      </c>
      <c r="Q300">
        <v>4432310.479077559</v>
      </c>
      <c r="R300">
        <v>4</v>
      </c>
      <c r="S300" s="4">
        <v>0</v>
      </c>
      <c r="T300">
        <f t="shared" si="12"/>
        <v>-27077.185543960892</v>
      </c>
      <c r="U300">
        <f t="shared" si="13"/>
        <v>27081.185543960892</v>
      </c>
      <c r="V300">
        <v>3652597.0653143348</v>
      </c>
      <c r="W300">
        <v>4</v>
      </c>
      <c r="X300">
        <v>4741711.8973202137</v>
      </c>
      <c r="Y300">
        <v>3</v>
      </c>
      <c r="Z300">
        <f t="shared" si="14"/>
        <v>2.5157181670302686E-3</v>
      </c>
    </row>
    <row r="301" spans="1:26" x14ac:dyDescent="0.3">
      <c r="A301">
        <v>20230302</v>
      </c>
      <c r="B301" s="5">
        <v>44987</v>
      </c>
      <c r="C301">
        <v>835178.2053422255</v>
      </c>
      <c r="D301">
        <v>1002495.59300001</v>
      </c>
      <c r="E301" s="5">
        <v>44987</v>
      </c>
      <c r="F301" s="4">
        <v>20230302</v>
      </c>
      <c r="G301" s="5"/>
      <c r="H301" s="4">
        <v>1957444.151959996</v>
      </c>
      <c r="I301" s="4">
        <v>2820783.9045599801</v>
      </c>
      <c r="J301" s="4">
        <v>1772505.31816</v>
      </c>
      <c r="K301">
        <v>2207928.6261799997</v>
      </c>
      <c r="L301" s="4">
        <v>999954.80735999788</v>
      </c>
      <c r="M301" s="4">
        <v>957030.55123999994</v>
      </c>
      <c r="N301" s="4">
        <v>1158025.4924399978</v>
      </c>
      <c r="O301" s="4">
        <v>2180782.3485399801</v>
      </c>
      <c r="P301" s="4">
        <v>3354400.5546399797</v>
      </c>
      <c r="Q301">
        <v>4458068.8612443581</v>
      </c>
      <c r="R301">
        <v>1</v>
      </c>
      <c r="S301" s="4">
        <v>0</v>
      </c>
      <c r="T301">
        <f t="shared" si="12"/>
        <v>25758.382166799158</v>
      </c>
      <c r="U301">
        <f t="shared" si="13"/>
        <v>-25757.382166799158</v>
      </c>
      <c r="V301">
        <v>3665709.0423673945</v>
      </c>
      <c r="W301">
        <v>4</v>
      </c>
      <c r="X301">
        <v>4737332.8051850712</v>
      </c>
      <c r="Y301">
        <v>3</v>
      </c>
      <c r="Z301">
        <f t="shared" si="14"/>
        <v>-9.2352555996018783E-4</v>
      </c>
    </row>
    <row r="302" spans="1:26" x14ac:dyDescent="0.3">
      <c r="H302" s="4">
        <f>(H301/H2)^(242/300)-1</f>
        <v>0.71908004813635373</v>
      </c>
      <c r="I302" s="4">
        <f t="shared" ref="I302:Q302" si="15">(I301/I2)^(242/300)-1</f>
        <v>1.3083322486507547</v>
      </c>
      <c r="J302" s="4">
        <f t="shared" si="15"/>
        <v>0.58681861968524984</v>
      </c>
      <c r="K302" s="4">
        <f t="shared" si="15"/>
        <v>0.89444175659500957</v>
      </c>
      <c r="L302" s="4">
        <f t="shared" si="15"/>
        <v>-3.6455555531111905E-5</v>
      </c>
      <c r="M302" s="4">
        <f t="shared" si="15"/>
        <v>-3.4808518608732242E-2</v>
      </c>
      <c r="N302" s="4">
        <f t="shared" si="15"/>
        <v>0.12563939326032858</v>
      </c>
      <c r="O302" s="4">
        <f t="shared" si="15"/>
        <v>0.87563044749490504</v>
      </c>
      <c r="P302" s="4">
        <f t="shared" si="15"/>
        <v>1.6545813349942282</v>
      </c>
      <c r="Q302" s="4">
        <f t="shared" si="15"/>
        <v>2.3392202325375551</v>
      </c>
      <c r="S302" s="4"/>
      <c r="T302">
        <f t="shared" si="12"/>
        <v>-4458066.5220241258</v>
      </c>
      <c r="U302">
        <f t="shared" si="13"/>
        <v>4458066.5220241258</v>
      </c>
      <c r="V302">
        <v>1.8515923826502356</v>
      </c>
      <c r="X302">
        <v>0</v>
      </c>
      <c r="Z302">
        <f t="shared" si="14"/>
        <v>-1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4D03-DB97-4853-8F5B-EE1AA98DE340}">
  <dimension ref="A1:AA302"/>
  <sheetViews>
    <sheetView topLeftCell="G1" workbookViewId="0">
      <selection activeCell="Z3" sqref="Z3:Z301"/>
    </sheetView>
  </sheetViews>
  <sheetFormatPr defaultRowHeight="14" x14ac:dyDescent="0.3"/>
  <cols>
    <col min="2" max="2" width="16.75" customWidth="1"/>
    <col min="3" max="3" width="17" customWidth="1"/>
    <col min="4" max="4" width="15.1640625" style="4" customWidth="1"/>
    <col min="5" max="5" width="14.4140625" style="4" customWidth="1"/>
    <col min="6" max="6" width="8.6640625" style="4"/>
    <col min="7" max="7" width="15.4140625" customWidth="1"/>
    <col min="8" max="18" width="8.6640625" style="4"/>
  </cols>
  <sheetData>
    <row r="1" spans="1:27" x14ac:dyDescent="0.3">
      <c r="A1" t="s">
        <v>1</v>
      </c>
      <c r="B1" t="s">
        <v>2</v>
      </c>
      <c r="C1" s="1" t="s">
        <v>0</v>
      </c>
      <c r="D1" s="3" t="s">
        <v>25</v>
      </c>
      <c r="E1" s="4" t="s">
        <v>14</v>
      </c>
      <c r="F1" s="4" t="s">
        <v>1</v>
      </c>
      <c r="G1" t="s">
        <v>2</v>
      </c>
      <c r="H1" s="4" t="s">
        <v>3</v>
      </c>
      <c r="I1" s="4" t="s">
        <v>15</v>
      </c>
      <c r="J1" s="4" t="s">
        <v>18</v>
      </c>
      <c r="K1" s="4" t="s">
        <v>16</v>
      </c>
      <c r="L1" s="4" t="s">
        <v>17</v>
      </c>
      <c r="M1" s="4" t="s">
        <v>19</v>
      </c>
      <c r="N1" s="4" t="s">
        <v>20</v>
      </c>
      <c r="O1" s="4" t="s">
        <v>5</v>
      </c>
      <c r="P1" s="4" t="s">
        <v>4</v>
      </c>
      <c r="Q1" s="4" t="s">
        <v>6</v>
      </c>
      <c r="R1" s="4" t="s">
        <v>13</v>
      </c>
      <c r="V1" t="s">
        <v>6</v>
      </c>
      <c r="W1" t="s">
        <v>13</v>
      </c>
      <c r="X1" t="s">
        <v>22</v>
      </c>
    </row>
    <row r="2" spans="1:27" x14ac:dyDescent="0.3">
      <c r="A2">
        <v>20211206</v>
      </c>
      <c r="B2" s="5">
        <v>44536</v>
      </c>
      <c r="C2">
        <v>1000000</v>
      </c>
      <c r="D2" s="4">
        <v>1000000</v>
      </c>
      <c r="E2" s="5">
        <v>44536</v>
      </c>
      <c r="F2" s="4">
        <v>20211206</v>
      </c>
      <c r="G2" s="5" t="s">
        <v>7</v>
      </c>
      <c r="H2" s="4">
        <v>1000000</v>
      </c>
      <c r="I2" s="4">
        <v>1000000</v>
      </c>
      <c r="J2" s="4">
        <v>1000000</v>
      </c>
      <c r="K2" s="4">
        <v>1000000</v>
      </c>
      <c r="L2" s="4">
        <v>1000000</v>
      </c>
      <c r="M2" s="4">
        <v>1000000</v>
      </c>
      <c r="N2" s="4">
        <v>1000000</v>
      </c>
      <c r="O2" s="4">
        <v>1000000</v>
      </c>
      <c r="P2" s="4">
        <v>1000000</v>
      </c>
      <c r="Q2" s="4">
        <v>1000000</v>
      </c>
      <c r="R2" s="4">
        <v>0</v>
      </c>
      <c r="S2" s="4">
        <v>0</v>
      </c>
      <c r="V2">
        <v>1000000</v>
      </c>
      <c r="W2">
        <v>0</v>
      </c>
      <c r="X2">
        <v>1000000</v>
      </c>
      <c r="Y2">
        <v>3</v>
      </c>
    </row>
    <row r="3" spans="1:27" x14ac:dyDescent="0.3">
      <c r="A3">
        <v>20211207</v>
      </c>
      <c r="B3" s="5">
        <v>44537</v>
      </c>
      <c r="C3">
        <v>1016582.9999999998</v>
      </c>
      <c r="D3" s="4">
        <v>1002107.6716</v>
      </c>
      <c r="E3" s="5">
        <v>44537</v>
      </c>
      <c r="F3" s="4">
        <v>20211207</v>
      </c>
      <c r="G3" s="5"/>
      <c r="H3" s="4">
        <v>1036815.2251800001</v>
      </c>
      <c r="I3" s="4">
        <v>1032217.46842</v>
      </c>
      <c r="J3" s="4">
        <v>1012512.25228</v>
      </c>
      <c r="K3" s="4">
        <v>1035267.2040200001</v>
      </c>
      <c r="L3" s="4">
        <v>1025067.4001800001</v>
      </c>
      <c r="M3" s="4">
        <v>1027452.3083</v>
      </c>
      <c r="N3" s="4">
        <v>1000000</v>
      </c>
      <c r="O3" s="4">
        <v>1043474.4097</v>
      </c>
      <c r="P3" s="4">
        <v>1002175.7464400001</v>
      </c>
      <c r="Q3" s="4">
        <v>1002213.7053487593</v>
      </c>
      <c r="R3" s="4">
        <v>2</v>
      </c>
      <c r="S3" s="4">
        <v>0</v>
      </c>
      <c r="T3">
        <f>Q3-Q2</f>
        <v>2213.7053487593075</v>
      </c>
      <c r="U3">
        <f>R3-T3</f>
        <v>-2211.7053487593075</v>
      </c>
      <c r="V3">
        <v>1000005.6906</v>
      </c>
      <c r="W3">
        <v>2</v>
      </c>
      <c r="X3">
        <v>1007498.8908712487</v>
      </c>
      <c r="Y3">
        <v>3</v>
      </c>
      <c r="Z3">
        <f>(X3-X2)/X2</f>
        <v>7.4988908712486733E-3</v>
      </c>
      <c r="AA3">
        <f>(((1+AVERAGE(Z3:Z301))^242)-1-0.025)/(_xlfn.STDEV.P(Z3:Z301)*(242^0.5))</f>
        <v>2.4279568621506233</v>
      </c>
    </row>
    <row r="4" spans="1:27" x14ac:dyDescent="0.3">
      <c r="A4">
        <v>20211208</v>
      </c>
      <c r="B4" s="5">
        <v>44538</v>
      </c>
      <c r="C4">
        <v>1026841.3390529997</v>
      </c>
      <c r="D4" s="4">
        <v>962296.51850000001</v>
      </c>
      <c r="E4" s="5">
        <v>44538</v>
      </c>
      <c r="F4" s="4">
        <v>20211208</v>
      </c>
      <c r="G4" s="5"/>
      <c r="H4" s="4">
        <v>994301.6716</v>
      </c>
      <c r="I4" s="4">
        <v>990203.72662000009</v>
      </c>
      <c r="J4" s="4">
        <v>971089.78509999998</v>
      </c>
      <c r="K4" s="4">
        <v>992753.65044</v>
      </c>
      <c r="L4" s="4">
        <v>983099.3898</v>
      </c>
      <c r="M4" s="4">
        <v>985434.9278200001</v>
      </c>
      <c r="N4" s="4">
        <v>1000000</v>
      </c>
      <c r="O4" s="4">
        <v>1000915.1246999981</v>
      </c>
      <c r="P4" s="4">
        <v>961298.82246000005</v>
      </c>
      <c r="Q4" s="4">
        <v>957836.80021274276</v>
      </c>
      <c r="R4" s="4">
        <v>1</v>
      </c>
      <c r="S4" s="4">
        <v>0</v>
      </c>
      <c r="T4">
        <f t="shared" ref="T4:T67" si="0">Q4-Q3</f>
        <v>-44376.905136016547</v>
      </c>
      <c r="U4">
        <f t="shared" ref="U4:U67" si="1">R4-T4</f>
        <v>44377.905136016547</v>
      </c>
      <c r="V4">
        <v>958879.91020000004</v>
      </c>
      <c r="W4">
        <v>2</v>
      </c>
      <c r="X4">
        <v>982376.2077900155</v>
      </c>
      <c r="Y4">
        <v>3</v>
      </c>
      <c r="Z4">
        <f t="shared" ref="Z4:Z67" si="2">(X4-X3)/X3</f>
        <v>-2.4935693040324825E-2</v>
      </c>
    </row>
    <row r="5" spans="1:27" x14ac:dyDescent="0.3">
      <c r="A5">
        <v>20211209</v>
      </c>
      <c r="B5" s="5">
        <v>44539</v>
      </c>
      <c r="C5">
        <v>1029044.9405666075</v>
      </c>
      <c r="D5" s="4">
        <v>961812.01080000005</v>
      </c>
      <c r="E5" s="5">
        <v>44539</v>
      </c>
      <c r="F5" s="4">
        <v>20211209</v>
      </c>
      <c r="G5" s="5"/>
      <c r="H5" s="4">
        <v>978619.78403999994</v>
      </c>
      <c r="I5" s="4">
        <v>971833.71124000009</v>
      </c>
      <c r="J5" s="4">
        <v>994588.83753999998</v>
      </c>
      <c r="K5" s="4">
        <v>964584.73758000007</v>
      </c>
      <c r="L5" s="4">
        <v>989234.63254000002</v>
      </c>
      <c r="M5" s="4">
        <v>988108.63761999994</v>
      </c>
      <c r="N5" s="4">
        <v>1056790.7308</v>
      </c>
      <c r="O5" s="4">
        <v>994876.81821999792</v>
      </c>
      <c r="P5" s="4">
        <v>989360.96372</v>
      </c>
      <c r="Q5" s="4">
        <v>985864.38215486077</v>
      </c>
      <c r="R5" s="4">
        <v>2</v>
      </c>
      <c r="S5" s="4">
        <v>0</v>
      </c>
      <c r="T5">
        <f t="shared" si="0"/>
        <v>28027.581942118006</v>
      </c>
      <c r="U5">
        <f t="shared" si="1"/>
        <v>-28025.581942118006</v>
      </c>
      <c r="V5">
        <v>986940.52159999998</v>
      </c>
      <c r="W5">
        <v>2</v>
      </c>
      <c r="X5">
        <v>1019892.0851270296</v>
      </c>
      <c r="Y5">
        <v>3</v>
      </c>
      <c r="Z5">
        <f t="shared" si="2"/>
        <v>3.8188910765063186E-2</v>
      </c>
    </row>
    <row r="6" spans="1:27" x14ac:dyDescent="0.3">
      <c r="A6">
        <v>20211210</v>
      </c>
      <c r="B6" s="5">
        <v>44540</v>
      </c>
      <c r="C6">
        <v>1037982.1958754284</v>
      </c>
      <c r="D6" s="4">
        <v>964558.21499999997</v>
      </c>
      <c r="E6" s="5">
        <v>44540</v>
      </c>
      <c r="F6" s="4">
        <v>20211210</v>
      </c>
      <c r="G6" s="5"/>
      <c r="H6" s="4">
        <v>988475.45797999797</v>
      </c>
      <c r="I6" s="4">
        <v>997071.20701999997</v>
      </c>
      <c r="J6" s="4">
        <v>1014897.7659199979</v>
      </c>
      <c r="K6" s="4">
        <v>954655.88916000002</v>
      </c>
      <c r="L6" s="4">
        <v>991261.90636000002</v>
      </c>
      <c r="M6" s="4">
        <v>987982.69055999792</v>
      </c>
      <c r="N6" s="4">
        <v>1056790.7308</v>
      </c>
      <c r="O6" s="4">
        <v>1033085.945559998</v>
      </c>
      <c r="P6" s="4">
        <v>991866.38925999997</v>
      </c>
      <c r="Q6" s="4">
        <v>988222.38448560506</v>
      </c>
      <c r="R6" s="4">
        <v>2</v>
      </c>
      <c r="S6" s="4">
        <v>0</v>
      </c>
      <c r="T6">
        <f t="shared" si="0"/>
        <v>2358.0023307442898</v>
      </c>
      <c r="U6">
        <f t="shared" si="1"/>
        <v>-2356.0023307442898</v>
      </c>
      <c r="V6">
        <v>989299.65600000008</v>
      </c>
      <c r="W6">
        <v>2</v>
      </c>
      <c r="X6">
        <v>1029456.3812027604</v>
      </c>
      <c r="Y6">
        <v>3</v>
      </c>
      <c r="Z6">
        <f t="shared" si="2"/>
        <v>9.3777530144667862E-3</v>
      </c>
    </row>
    <row r="7" spans="1:27" x14ac:dyDescent="0.3">
      <c r="A7">
        <v>20211213</v>
      </c>
      <c r="B7" s="5">
        <v>44543</v>
      </c>
      <c r="C7">
        <v>1037400.9258457382</v>
      </c>
      <c r="D7" s="4">
        <v>958575.60510000004</v>
      </c>
      <c r="E7" s="5">
        <v>44543</v>
      </c>
      <c r="F7" s="4">
        <v>20211213</v>
      </c>
      <c r="G7" s="5"/>
      <c r="H7" s="4">
        <v>977124.60973999801</v>
      </c>
      <c r="I7" s="4">
        <v>992189.56874000002</v>
      </c>
      <c r="J7" s="4">
        <v>1008666.609599998</v>
      </c>
      <c r="K7" s="4">
        <v>941357.18955999799</v>
      </c>
      <c r="L7" s="4">
        <v>984735.40075999999</v>
      </c>
      <c r="M7" s="4">
        <v>979919.10964000004</v>
      </c>
      <c r="N7" s="4">
        <v>1058396.8407999999</v>
      </c>
      <c r="O7" s="4">
        <v>1008489.311659998</v>
      </c>
      <c r="P7" s="4">
        <v>987062.69949999987</v>
      </c>
      <c r="Q7" s="4">
        <v>983396.15320673282</v>
      </c>
      <c r="R7" s="4">
        <v>1</v>
      </c>
      <c r="S7" s="4">
        <v>0</v>
      </c>
      <c r="T7">
        <f t="shared" si="0"/>
        <v>-4826.2312788722338</v>
      </c>
      <c r="U7">
        <f t="shared" si="1"/>
        <v>4827.2312788722338</v>
      </c>
      <c r="V7">
        <v>989299.65600000008</v>
      </c>
      <c r="W7">
        <v>0</v>
      </c>
      <c r="X7">
        <v>1003702.9022019191</v>
      </c>
      <c r="Y7">
        <v>3</v>
      </c>
      <c r="Z7">
        <f t="shared" si="2"/>
        <v>-2.5016581052955653E-2</v>
      </c>
    </row>
    <row r="8" spans="1:27" x14ac:dyDescent="0.3">
      <c r="A8">
        <v>20211214</v>
      </c>
      <c r="B8" s="5">
        <v>44544</v>
      </c>
      <c r="C8">
        <v>1028390.0614038421</v>
      </c>
      <c r="D8" s="4">
        <v>959719.8162</v>
      </c>
      <c r="E8" s="5">
        <v>44544</v>
      </c>
      <c r="F8" s="4">
        <v>20211214</v>
      </c>
      <c r="G8" s="5"/>
      <c r="H8" s="4">
        <v>978417.78867999802</v>
      </c>
      <c r="I8" s="4">
        <v>993512.27760000003</v>
      </c>
      <c r="J8" s="4">
        <v>1010010.6098999981</v>
      </c>
      <c r="K8" s="4">
        <v>942598.040419998</v>
      </c>
      <c r="L8" s="4">
        <v>986038.67738000001</v>
      </c>
      <c r="M8" s="4">
        <v>993371.96356000006</v>
      </c>
      <c r="N8" s="4">
        <v>1058396.8407999999</v>
      </c>
      <c r="O8" s="4">
        <v>1009834.958179998</v>
      </c>
      <c r="P8" s="4">
        <v>988360.30857999995</v>
      </c>
      <c r="Q8" s="4">
        <v>1002493.2219519559</v>
      </c>
      <c r="R8" s="4">
        <v>1</v>
      </c>
      <c r="S8" s="4">
        <v>0</v>
      </c>
      <c r="T8">
        <f t="shared" si="0"/>
        <v>19097.068745223107</v>
      </c>
      <c r="U8">
        <f t="shared" si="1"/>
        <v>-19096.068745223107</v>
      </c>
      <c r="V8">
        <v>1008511.0451999999</v>
      </c>
      <c r="W8">
        <v>1</v>
      </c>
      <c r="X8">
        <v>1009912.3610325244</v>
      </c>
      <c r="Y8">
        <v>3</v>
      </c>
      <c r="Z8">
        <f t="shared" si="2"/>
        <v>6.1865506386232193E-3</v>
      </c>
    </row>
    <row r="9" spans="1:27" x14ac:dyDescent="0.3">
      <c r="A9">
        <v>20211215</v>
      </c>
      <c r="B9" s="5">
        <v>44545</v>
      </c>
      <c r="C9">
        <v>1035999.1194681693</v>
      </c>
      <c r="D9" s="4">
        <v>975080.50349999999</v>
      </c>
      <c r="E9" s="5">
        <v>44545</v>
      </c>
      <c r="F9" s="4">
        <v>20211215</v>
      </c>
      <c r="G9" s="5"/>
      <c r="H9" s="4">
        <v>1005553.24006</v>
      </c>
      <c r="I9" s="4">
        <v>1011650.6354199999</v>
      </c>
      <c r="J9" s="4">
        <v>1041371.8993599979</v>
      </c>
      <c r="K9" s="4">
        <v>954510.00083999801</v>
      </c>
      <c r="L9" s="4">
        <v>1004118.6329399999</v>
      </c>
      <c r="M9" s="4">
        <v>1009177.76646</v>
      </c>
      <c r="N9" s="4">
        <v>1077677.7122800001</v>
      </c>
      <c r="O9" s="4">
        <v>1002999.4646999979</v>
      </c>
      <c r="P9" s="4">
        <v>991452.60127999797</v>
      </c>
      <c r="Q9" s="4">
        <v>1005710.998361123</v>
      </c>
      <c r="R9" s="4">
        <v>2</v>
      </c>
      <c r="S9" s="4">
        <v>0</v>
      </c>
      <c r="T9">
        <f t="shared" si="0"/>
        <v>3217.7764091670979</v>
      </c>
      <c r="U9">
        <f t="shared" si="1"/>
        <v>-3215.7764091670979</v>
      </c>
      <c r="V9">
        <v>1008511.0451999999</v>
      </c>
      <c r="W9">
        <v>0</v>
      </c>
      <c r="X9">
        <v>1013602.1293667296</v>
      </c>
      <c r="Y9">
        <v>3</v>
      </c>
      <c r="Z9">
        <f t="shared" si="2"/>
        <v>3.6535529978392184E-3</v>
      </c>
    </row>
    <row r="10" spans="1:27" x14ac:dyDescent="0.3">
      <c r="A10">
        <v>20211216</v>
      </c>
      <c r="B10" s="5">
        <v>44546</v>
      </c>
      <c r="C10">
        <v>1019328.8576368069</v>
      </c>
      <c r="D10" s="4">
        <v>957178.81579999998</v>
      </c>
      <c r="E10" s="5">
        <v>44546</v>
      </c>
      <c r="F10" s="4">
        <v>20211216</v>
      </c>
      <c r="G10" s="5"/>
      <c r="H10" s="4">
        <v>990759.32675999997</v>
      </c>
      <c r="I10" s="4">
        <v>998226.22326</v>
      </c>
      <c r="J10" s="4">
        <v>1027295.6984999981</v>
      </c>
      <c r="K10" s="4">
        <v>941358.27449999994</v>
      </c>
      <c r="L10" s="4">
        <v>983513.54132000008</v>
      </c>
      <c r="M10" s="4">
        <v>989667.57745999994</v>
      </c>
      <c r="N10" s="4">
        <v>1034277.4705000001</v>
      </c>
      <c r="O10" s="4">
        <v>976223.88189999794</v>
      </c>
      <c r="P10" s="4">
        <v>972164.08349999809</v>
      </c>
      <c r="Q10" s="4">
        <v>988365.62848483643</v>
      </c>
      <c r="R10" s="4">
        <v>1</v>
      </c>
      <c r="S10" s="4">
        <v>0</v>
      </c>
      <c r="T10">
        <f t="shared" si="0"/>
        <v>-17345.369876286597</v>
      </c>
      <c r="U10">
        <f t="shared" si="1"/>
        <v>17346.369876286597</v>
      </c>
      <c r="V10">
        <v>1008511.0451999999</v>
      </c>
      <c r="W10">
        <v>0</v>
      </c>
      <c r="X10">
        <v>996121.13926976081</v>
      </c>
      <c r="Y10">
        <v>3</v>
      </c>
      <c r="Z10">
        <f t="shared" si="2"/>
        <v>-1.7246402301749768E-2</v>
      </c>
    </row>
    <row r="11" spans="1:27" x14ac:dyDescent="0.3">
      <c r="A11">
        <v>20211217</v>
      </c>
      <c r="B11" s="5">
        <v>44547</v>
      </c>
      <c r="C11">
        <v>989117.98895416723</v>
      </c>
      <c r="D11" s="4">
        <v>929729.35829999996</v>
      </c>
      <c r="E11" s="5">
        <v>44547</v>
      </c>
      <c r="F11" s="4">
        <v>20211217</v>
      </c>
      <c r="G11" s="5"/>
      <c r="H11" s="4">
        <v>989668.74800000002</v>
      </c>
      <c r="I11" s="4">
        <v>1001344.2401599999</v>
      </c>
      <c r="J11" s="4">
        <v>983298.09497999796</v>
      </c>
      <c r="K11" s="4">
        <v>944934.99924000003</v>
      </c>
      <c r="L11" s="4">
        <v>954385.57941999997</v>
      </c>
      <c r="M11" s="4">
        <v>977726.58883999998</v>
      </c>
      <c r="N11" s="4">
        <v>1062920.2904799979</v>
      </c>
      <c r="O11" s="4">
        <v>992016.10827999806</v>
      </c>
      <c r="P11" s="4">
        <v>963894.16639999801</v>
      </c>
      <c r="Q11" s="4">
        <v>1041075.1578221662</v>
      </c>
      <c r="R11" s="4">
        <v>1</v>
      </c>
      <c r="S11" s="4">
        <v>0</v>
      </c>
      <c r="T11">
        <f t="shared" si="0"/>
        <v>52709.52933732979</v>
      </c>
      <c r="U11">
        <f t="shared" si="1"/>
        <v>-52708.52933732979</v>
      </c>
      <c r="V11">
        <v>1062294.8936000001</v>
      </c>
      <c r="W11">
        <v>1</v>
      </c>
      <c r="X11">
        <v>996121.13926976081</v>
      </c>
      <c r="Y11">
        <v>0</v>
      </c>
      <c r="Z11">
        <f t="shared" si="2"/>
        <v>0</v>
      </c>
    </row>
    <row r="12" spans="1:27" x14ac:dyDescent="0.3">
      <c r="A12">
        <v>20211220</v>
      </c>
      <c r="B12" s="5">
        <v>44550</v>
      </c>
      <c r="C12">
        <v>994391.96607127099</v>
      </c>
      <c r="D12" s="4">
        <v>941883.03760000004</v>
      </c>
      <c r="E12" s="5">
        <v>44550</v>
      </c>
      <c r="F12" s="4">
        <v>20211220</v>
      </c>
      <c r="G12" s="5"/>
      <c r="H12" s="4">
        <v>1005631.83558</v>
      </c>
      <c r="I12" s="4">
        <v>1003580.1394200001</v>
      </c>
      <c r="J12" s="4">
        <v>1004585.715439998</v>
      </c>
      <c r="K12" s="4">
        <v>960167.47792000009</v>
      </c>
      <c r="L12" s="4">
        <v>966766.98379999993</v>
      </c>
      <c r="M12" s="4">
        <v>992571.74316000007</v>
      </c>
      <c r="N12" s="4">
        <v>1069168.3528799999</v>
      </c>
      <c r="O12" s="4">
        <v>1001804.6447799981</v>
      </c>
      <c r="P12" s="4">
        <v>981407.10187999788</v>
      </c>
      <c r="Q12" s="4">
        <v>1041075.1578221662</v>
      </c>
      <c r="R12" s="4">
        <v>0</v>
      </c>
      <c r="S12" s="4">
        <v>0</v>
      </c>
      <c r="T12">
        <f t="shared" si="0"/>
        <v>0</v>
      </c>
      <c r="U12">
        <f t="shared" si="1"/>
        <v>0</v>
      </c>
      <c r="V12">
        <v>1111679.5323999999</v>
      </c>
      <c r="W12">
        <v>1</v>
      </c>
      <c r="X12">
        <v>996121.13926976081</v>
      </c>
      <c r="Y12">
        <v>0</v>
      </c>
      <c r="Z12">
        <f t="shared" si="2"/>
        <v>0</v>
      </c>
    </row>
    <row r="13" spans="1:27" x14ac:dyDescent="0.3">
      <c r="A13">
        <v>20211221</v>
      </c>
      <c r="B13" s="5">
        <v>44551</v>
      </c>
      <c r="C13">
        <v>999798.47519080038</v>
      </c>
      <c r="D13" s="4">
        <v>937454.6997</v>
      </c>
      <c r="E13" s="5">
        <v>44551</v>
      </c>
      <c r="F13" s="4">
        <v>20211221</v>
      </c>
      <c r="G13" s="5"/>
      <c r="H13" s="4">
        <v>1018135.9164000001</v>
      </c>
      <c r="I13" s="4">
        <v>981172.82227999996</v>
      </c>
      <c r="J13" s="4">
        <v>1031463.920699998</v>
      </c>
      <c r="K13" s="4">
        <v>961022.56943999999</v>
      </c>
      <c r="L13" s="4">
        <v>962524.88428000011</v>
      </c>
      <c r="M13" s="4">
        <v>985693.99294000003</v>
      </c>
      <c r="N13" s="4">
        <v>1068553.5964800001</v>
      </c>
      <c r="O13" s="4">
        <v>1002291.910659998</v>
      </c>
      <c r="P13" s="4">
        <v>959536.14777999802</v>
      </c>
      <c r="Q13" s="4">
        <v>1041075.1578221662</v>
      </c>
      <c r="R13" s="4">
        <v>0</v>
      </c>
      <c r="S13" s="4">
        <v>0</v>
      </c>
      <c r="T13">
        <f t="shared" si="0"/>
        <v>0</v>
      </c>
      <c r="U13">
        <f t="shared" si="1"/>
        <v>0</v>
      </c>
      <c r="V13">
        <v>1086825.4442</v>
      </c>
      <c r="W13">
        <v>3</v>
      </c>
      <c r="X13">
        <v>996121.13926976081</v>
      </c>
      <c r="Y13">
        <v>0</v>
      </c>
      <c r="Z13">
        <f t="shared" si="2"/>
        <v>0</v>
      </c>
    </row>
    <row r="14" spans="1:27" x14ac:dyDescent="0.3">
      <c r="A14">
        <v>20211222</v>
      </c>
      <c r="B14" s="5">
        <v>44552</v>
      </c>
      <c r="C14">
        <v>1001267.1791508555</v>
      </c>
      <c r="D14" s="4">
        <v>918228.24159999995</v>
      </c>
      <c r="E14" s="5">
        <v>44552</v>
      </c>
      <c r="F14" s="4">
        <v>20211222</v>
      </c>
      <c r="G14" s="5"/>
      <c r="H14" s="4">
        <v>1000501.4939999999</v>
      </c>
      <c r="I14" s="4">
        <v>968112.49326000013</v>
      </c>
      <c r="J14" s="4">
        <v>1011506.76754</v>
      </c>
      <c r="K14" s="4">
        <v>934934.91317999992</v>
      </c>
      <c r="L14" s="4">
        <v>942714.02112000005</v>
      </c>
      <c r="M14" s="4">
        <v>965365.39883999992</v>
      </c>
      <c r="N14" s="4">
        <v>1064788.0225399979</v>
      </c>
      <c r="O14" s="4">
        <v>980825.57663999801</v>
      </c>
      <c r="P14" s="4">
        <v>938972.34553999803</v>
      </c>
      <c r="Q14" s="4">
        <v>1018740.2044732622</v>
      </c>
      <c r="R14" s="4">
        <v>2</v>
      </c>
      <c r="S14" s="4">
        <v>0</v>
      </c>
      <c r="T14">
        <f t="shared" si="0"/>
        <v>-22334.953348904033</v>
      </c>
      <c r="U14">
        <f t="shared" si="1"/>
        <v>22336.953348904033</v>
      </c>
      <c r="V14">
        <v>1063508.9058000001</v>
      </c>
      <c r="W14">
        <v>3</v>
      </c>
      <c r="X14">
        <v>996121.13926976081</v>
      </c>
      <c r="Y14">
        <v>0</v>
      </c>
      <c r="Z14">
        <f t="shared" si="2"/>
        <v>0</v>
      </c>
    </row>
    <row r="15" spans="1:27" x14ac:dyDescent="0.3">
      <c r="A15">
        <v>20211223</v>
      </c>
      <c r="B15" s="5">
        <v>44553</v>
      </c>
      <c r="C15">
        <v>978518.38884054811</v>
      </c>
      <c r="D15" s="4">
        <v>906342.51009999996</v>
      </c>
      <c r="E15" s="5">
        <v>44553</v>
      </c>
      <c r="F15" s="4">
        <v>20211223</v>
      </c>
      <c r="G15" s="5"/>
      <c r="H15" s="4">
        <v>986525.97629999998</v>
      </c>
      <c r="I15" s="4">
        <v>951004.74399999995</v>
      </c>
      <c r="J15" s="4">
        <v>995717.97160000005</v>
      </c>
      <c r="K15" s="4">
        <v>930292.20015999989</v>
      </c>
      <c r="L15" s="4">
        <v>932170.12575999997</v>
      </c>
      <c r="M15" s="4">
        <v>943623.62254000013</v>
      </c>
      <c r="N15" s="4">
        <v>1048494.49434</v>
      </c>
      <c r="O15" s="4">
        <v>954328.86171999795</v>
      </c>
      <c r="P15" s="4">
        <v>926587.97471999808</v>
      </c>
      <c r="Q15" s="4">
        <v>1020132.3606687877</v>
      </c>
      <c r="R15" s="4">
        <v>1</v>
      </c>
      <c r="S15" s="4">
        <v>0</v>
      </c>
      <c r="T15">
        <f t="shared" si="0"/>
        <v>1392.1561955255456</v>
      </c>
      <c r="U15">
        <f t="shared" si="1"/>
        <v>-1391.1561955255456</v>
      </c>
      <c r="V15">
        <v>1064962.2398000001</v>
      </c>
      <c r="W15">
        <v>1</v>
      </c>
      <c r="X15">
        <v>996121.13926976081</v>
      </c>
      <c r="Y15">
        <v>0</v>
      </c>
      <c r="Z15">
        <f t="shared" si="2"/>
        <v>0</v>
      </c>
    </row>
    <row r="16" spans="1:27" x14ac:dyDescent="0.3">
      <c r="A16">
        <v>20211224</v>
      </c>
      <c r="B16" s="5">
        <v>44554</v>
      </c>
      <c r="C16">
        <v>977525.19267587492</v>
      </c>
      <c r="D16" s="4">
        <v>919866.16359999997</v>
      </c>
      <c r="E16" s="5">
        <v>44554</v>
      </c>
      <c r="F16" s="4">
        <v>20211224</v>
      </c>
      <c r="G16" s="5"/>
      <c r="H16" s="4">
        <v>1002912.8016799999</v>
      </c>
      <c r="I16" s="4">
        <v>964425.26260000002</v>
      </c>
      <c r="J16" s="4">
        <v>1013224.69794</v>
      </c>
      <c r="K16" s="4">
        <v>945729.50457999797</v>
      </c>
      <c r="L16" s="4">
        <v>946593.74230000004</v>
      </c>
      <c r="M16" s="4">
        <v>958113.98849999998</v>
      </c>
      <c r="N16" s="4">
        <v>1093748.771139998</v>
      </c>
      <c r="O16" s="4">
        <v>963012.52849999792</v>
      </c>
      <c r="P16" s="4">
        <v>938517.91843999794</v>
      </c>
      <c r="Q16" s="4">
        <v>1033302.3710262094</v>
      </c>
      <c r="R16" s="4">
        <v>2</v>
      </c>
      <c r="S16" s="4">
        <v>0</v>
      </c>
      <c r="T16">
        <f t="shared" si="0"/>
        <v>13170.010357421706</v>
      </c>
      <c r="U16">
        <f t="shared" si="1"/>
        <v>-13168.010357421706</v>
      </c>
      <c r="V16">
        <v>1078710.4373999999</v>
      </c>
      <c r="W16">
        <v>3</v>
      </c>
      <c r="X16">
        <v>996121.13926976081</v>
      </c>
      <c r="Y16">
        <v>0</v>
      </c>
      <c r="Z16">
        <f t="shared" si="2"/>
        <v>0</v>
      </c>
    </row>
    <row r="17" spans="1:26" x14ac:dyDescent="0.3">
      <c r="A17">
        <v>20211227</v>
      </c>
      <c r="B17" s="5">
        <v>44557</v>
      </c>
      <c r="C17">
        <v>987821.46553032997</v>
      </c>
      <c r="D17" s="4">
        <v>935536.2977</v>
      </c>
      <c r="E17" s="5">
        <v>44557</v>
      </c>
      <c r="F17" s="4">
        <v>20211227</v>
      </c>
      <c r="G17" s="5"/>
      <c r="H17" s="4">
        <v>1005399.6977600001</v>
      </c>
      <c r="I17" s="4">
        <v>1027732.72484</v>
      </c>
      <c r="J17" s="4">
        <v>1022694.3032</v>
      </c>
      <c r="K17" s="4">
        <v>962897.24293999805</v>
      </c>
      <c r="L17" s="4">
        <v>966800.75399999996</v>
      </c>
      <c r="M17" s="4">
        <v>986136.39003999997</v>
      </c>
      <c r="N17" s="4">
        <v>1176870.4160599981</v>
      </c>
      <c r="O17" s="4">
        <v>990791.81309999805</v>
      </c>
      <c r="P17" s="4">
        <v>947563.88393999799</v>
      </c>
      <c r="Q17" s="4">
        <v>1042448.9036961778</v>
      </c>
      <c r="R17" s="4">
        <v>1</v>
      </c>
      <c r="S17" s="4">
        <v>0</v>
      </c>
      <c r="T17">
        <f t="shared" si="0"/>
        <v>9146.532669968321</v>
      </c>
      <c r="U17">
        <f t="shared" si="1"/>
        <v>-9145.532669968321</v>
      </c>
      <c r="V17">
        <v>1078710.4373999999</v>
      </c>
      <c r="W17">
        <v>0</v>
      </c>
      <c r="X17">
        <v>996121.13926976081</v>
      </c>
      <c r="Y17">
        <v>0</v>
      </c>
      <c r="Z17">
        <f t="shared" si="2"/>
        <v>0</v>
      </c>
    </row>
    <row r="18" spans="1:26" x14ac:dyDescent="0.3">
      <c r="A18">
        <v>20211228</v>
      </c>
      <c r="B18" s="5">
        <v>44558</v>
      </c>
      <c r="C18">
        <v>973957.39126161183</v>
      </c>
      <c r="D18" s="4">
        <v>925420.60160000005</v>
      </c>
      <c r="E18" s="5">
        <v>44558</v>
      </c>
      <c r="F18" s="4">
        <v>20211228</v>
      </c>
      <c r="G18" s="5"/>
      <c r="H18" s="4">
        <v>1002288.45862</v>
      </c>
      <c r="I18" s="4">
        <v>1004704.73858</v>
      </c>
      <c r="J18" s="4">
        <v>1017979.07458</v>
      </c>
      <c r="K18" s="4">
        <v>964534.6386399999</v>
      </c>
      <c r="L18" s="4">
        <v>955526.33892000001</v>
      </c>
      <c r="M18" s="4">
        <v>976394.91632000008</v>
      </c>
      <c r="N18" s="4">
        <v>1192635.889479998</v>
      </c>
      <c r="O18" s="4">
        <v>986810.2200799979</v>
      </c>
      <c r="P18" s="4">
        <v>942451.00132000004</v>
      </c>
      <c r="Q18" s="4">
        <v>1046970.4964911053</v>
      </c>
      <c r="R18" s="4">
        <v>3</v>
      </c>
      <c r="S18" s="4">
        <v>0</v>
      </c>
      <c r="T18">
        <f t="shared" si="0"/>
        <v>4521.5927949275356</v>
      </c>
      <c r="U18">
        <f t="shared" si="1"/>
        <v>-4518.5927949275356</v>
      </c>
      <c r="V18">
        <v>1068178.1825999999</v>
      </c>
      <c r="W18">
        <v>1</v>
      </c>
      <c r="X18">
        <v>996121.13926976081</v>
      </c>
      <c r="Y18">
        <v>0</v>
      </c>
      <c r="Z18">
        <f t="shared" si="2"/>
        <v>0</v>
      </c>
    </row>
    <row r="19" spans="1:26" x14ac:dyDescent="0.3">
      <c r="A19">
        <v>20211229</v>
      </c>
      <c r="B19" s="5">
        <v>44559</v>
      </c>
      <c r="C19">
        <v>986079.26495325379</v>
      </c>
      <c r="D19" s="4">
        <v>939880.57779999997</v>
      </c>
      <c r="E19" s="5">
        <v>44559</v>
      </c>
      <c r="F19" s="4">
        <v>20211229</v>
      </c>
      <c r="G19" s="5"/>
      <c r="H19" s="4">
        <v>1028870.6264599999</v>
      </c>
      <c r="I19" s="4">
        <v>1020302.8907</v>
      </c>
      <c r="J19" s="4">
        <v>1012196.1735799999</v>
      </c>
      <c r="K19" s="4">
        <v>986863.31831999996</v>
      </c>
      <c r="L19" s="4">
        <v>970523.68293999997</v>
      </c>
      <c r="M19" s="4">
        <v>991199.55700000003</v>
      </c>
      <c r="N19" s="4">
        <v>1235810.0220399979</v>
      </c>
      <c r="O19" s="4">
        <v>1006544.6122799979</v>
      </c>
      <c r="P19" s="4">
        <v>964066.32215999998</v>
      </c>
      <c r="Q19" s="4">
        <v>1077007.652806876</v>
      </c>
      <c r="R19" s="4">
        <v>1</v>
      </c>
      <c r="S19" s="4">
        <v>0</v>
      </c>
      <c r="T19">
        <f t="shared" si="0"/>
        <v>30037.156315770699</v>
      </c>
      <c r="U19">
        <f t="shared" si="1"/>
        <v>-30036.156315770699</v>
      </c>
      <c r="V19">
        <v>1068178.1825999999</v>
      </c>
      <c r="W19">
        <v>0</v>
      </c>
      <c r="X19">
        <v>1004242.9734146437</v>
      </c>
      <c r="Y19">
        <v>1</v>
      </c>
      <c r="Z19">
        <f t="shared" si="2"/>
        <v>8.15346028178544E-3</v>
      </c>
    </row>
    <row r="20" spans="1:26" x14ac:dyDescent="0.3">
      <c r="A20">
        <v>20211230</v>
      </c>
      <c r="B20" s="5">
        <v>44560</v>
      </c>
      <c r="C20">
        <v>986027.00275221129</v>
      </c>
      <c r="D20" s="4">
        <v>934315.83239999996</v>
      </c>
      <c r="E20" s="5">
        <v>44560</v>
      </c>
      <c r="F20" s="4">
        <v>20211230</v>
      </c>
      <c r="G20" s="5"/>
      <c r="H20" s="4">
        <v>1014252.36996</v>
      </c>
      <c r="I20" s="4">
        <v>1002373.1892000001</v>
      </c>
      <c r="J20" s="4">
        <v>1010261.3549200001</v>
      </c>
      <c r="K20" s="4">
        <v>954356.78793999995</v>
      </c>
      <c r="L20" s="4">
        <v>966380.22943999991</v>
      </c>
      <c r="M20" s="4">
        <v>990192.26221999992</v>
      </c>
      <c r="N20" s="4">
        <v>1212639.4608199981</v>
      </c>
      <c r="O20" s="4">
        <v>991293.92611999786</v>
      </c>
      <c r="P20" s="4">
        <v>952247.67661999795</v>
      </c>
      <c r="Q20" s="4">
        <v>1045564.5367687871</v>
      </c>
      <c r="R20" s="4">
        <v>1</v>
      </c>
      <c r="S20" s="4">
        <v>0</v>
      </c>
      <c r="T20">
        <f t="shared" si="0"/>
        <v>-31443.11603808892</v>
      </c>
      <c r="U20">
        <f t="shared" si="1"/>
        <v>31444.11603808892</v>
      </c>
      <c r="V20">
        <v>1068178.1825999999</v>
      </c>
      <c r="W20">
        <v>0</v>
      </c>
      <c r="X20">
        <v>1025894.7966149321</v>
      </c>
      <c r="Y20">
        <v>1</v>
      </c>
      <c r="Z20">
        <f t="shared" si="2"/>
        <v>2.1560343237122758E-2</v>
      </c>
    </row>
    <row r="21" spans="1:26" x14ac:dyDescent="0.3">
      <c r="A21">
        <v>20211231</v>
      </c>
      <c r="B21" s="5">
        <v>44561</v>
      </c>
      <c r="C21">
        <v>964492.17301210319</v>
      </c>
      <c r="D21" s="4">
        <v>899685.33589999995</v>
      </c>
      <c r="E21" s="5">
        <v>44561</v>
      </c>
      <c r="G21" s="5"/>
      <c r="H21" s="4">
        <v>980505.02902000002</v>
      </c>
      <c r="I21" s="4">
        <v>969134.34937999991</v>
      </c>
      <c r="J21" s="4">
        <v>963599.53870000003</v>
      </c>
      <c r="K21" s="4">
        <v>916756.87907999998</v>
      </c>
      <c r="L21" s="4">
        <v>927773.00899999996</v>
      </c>
      <c r="M21" s="4">
        <v>957347.15664000006</v>
      </c>
      <c r="N21" s="4">
        <v>1164907.0451199999</v>
      </c>
      <c r="O21" s="4">
        <v>958448.82053999812</v>
      </c>
      <c r="P21" s="4">
        <v>924130.96587999794</v>
      </c>
      <c r="Q21" s="4">
        <v>1013457.4727022048</v>
      </c>
      <c r="R21" s="4">
        <v>3</v>
      </c>
      <c r="S21" s="4">
        <v>0</v>
      </c>
      <c r="T21">
        <f t="shared" si="0"/>
        <v>-32107.064066582243</v>
      </c>
      <c r="U21">
        <f t="shared" si="1"/>
        <v>32110.064066582243</v>
      </c>
      <c r="V21">
        <v>1034251.5928</v>
      </c>
      <c r="W21">
        <v>2</v>
      </c>
      <c r="X21">
        <v>940722.60787950724</v>
      </c>
      <c r="Y21">
        <v>1</v>
      </c>
      <c r="Z21">
        <f t="shared" si="2"/>
        <v>-8.302234207295052E-2</v>
      </c>
    </row>
    <row r="22" spans="1:26" x14ac:dyDescent="0.3">
      <c r="A22">
        <v>20220104</v>
      </c>
      <c r="B22" s="5">
        <v>44565</v>
      </c>
      <c r="C22">
        <v>938169.25262625678</v>
      </c>
      <c r="D22" s="4">
        <v>879657.92370000004</v>
      </c>
      <c r="E22" s="5">
        <v>44565</v>
      </c>
      <c r="F22" s="4">
        <v>20220104</v>
      </c>
      <c r="G22" s="5"/>
      <c r="H22" s="4">
        <v>949093.3412599999</v>
      </c>
      <c r="I22" s="4">
        <v>958428.46392000001</v>
      </c>
      <c r="J22" s="4">
        <v>951360.35940000007</v>
      </c>
      <c r="K22" s="4">
        <v>880303.39164000005</v>
      </c>
      <c r="L22" s="4">
        <v>904768.39546000003</v>
      </c>
      <c r="M22" s="4">
        <v>928322.96473999997</v>
      </c>
      <c r="N22" s="4">
        <v>1139594.21398</v>
      </c>
      <c r="O22" s="4">
        <v>924385.04257999803</v>
      </c>
      <c r="P22" s="4">
        <v>906126.98239999986</v>
      </c>
      <c r="Q22" s="4">
        <v>993654.98400735215</v>
      </c>
      <c r="R22" s="4">
        <v>4</v>
      </c>
      <c r="S22" s="4">
        <v>0</v>
      </c>
      <c r="T22">
        <f t="shared" si="0"/>
        <v>-19802.488694852684</v>
      </c>
      <c r="U22">
        <f t="shared" si="1"/>
        <v>19806.488694852684</v>
      </c>
      <c r="V22">
        <v>1026264.5198000001</v>
      </c>
      <c r="W22">
        <v>1</v>
      </c>
      <c r="X22">
        <v>933457.83168996451</v>
      </c>
      <c r="Y22">
        <v>1</v>
      </c>
      <c r="Z22">
        <f t="shared" si="2"/>
        <v>-7.7225487393338338E-3</v>
      </c>
    </row>
    <row r="23" spans="1:26" x14ac:dyDescent="0.3">
      <c r="A23">
        <v>20220105</v>
      </c>
      <c r="B23" s="5">
        <v>44566</v>
      </c>
      <c r="C23">
        <v>928056.72625219845</v>
      </c>
      <c r="D23" s="4">
        <v>877788.50919999997</v>
      </c>
      <c r="E23" s="5">
        <v>44566</v>
      </c>
      <c r="F23" s="4">
        <v>20220105</v>
      </c>
      <c r="G23" s="5"/>
      <c r="H23" s="4">
        <v>954461.91476000007</v>
      </c>
      <c r="I23" s="4">
        <v>960394.0708799999</v>
      </c>
      <c r="J23" s="4">
        <v>936884.92830000003</v>
      </c>
      <c r="K23" s="4">
        <v>874903.04367999989</v>
      </c>
      <c r="L23" s="4">
        <v>908216.01468000002</v>
      </c>
      <c r="M23" s="4">
        <v>919521.87327999994</v>
      </c>
      <c r="N23" s="4">
        <v>1147669.7318599981</v>
      </c>
      <c r="O23" s="4">
        <v>938577.46261999791</v>
      </c>
      <c r="P23" s="4">
        <v>914610.00797999802</v>
      </c>
      <c r="Q23" s="4">
        <v>993654.98400735215</v>
      </c>
      <c r="R23" s="4">
        <v>0</v>
      </c>
      <c r="S23" s="4">
        <v>0</v>
      </c>
      <c r="T23">
        <f t="shared" si="0"/>
        <v>0</v>
      </c>
      <c r="U23">
        <f t="shared" si="1"/>
        <v>0</v>
      </c>
      <c r="V23">
        <v>1035863.4476</v>
      </c>
      <c r="W23">
        <v>3</v>
      </c>
      <c r="X23">
        <v>962027.56694429857</v>
      </c>
      <c r="Y23">
        <v>1</v>
      </c>
      <c r="Z23">
        <f t="shared" si="2"/>
        <v>3.0606348015325354E-2</v>
      </c>
    </row>
    <row r="24" spans="1:26" x14ac:dyDescent="0.3">
      <c r="A24">
        <v>20220106</v>
      </c>
      <c r="B24" s="5">
        <v>44567</v>
      </c>
      <c r="C24">
        <v>918961.77033492678</v>
      </c>
      <c r="D24" s="4">
        <v>862213.57110000099</v>
      </c>
      <c r="E24" s="5">
        <v>44567</v>
      </c>
      <c r="F24" s="4">
        <v>20220106</v>
      </c>
      <c r="G24" s="5"/>
      <c r="H24" s="4">
        <v>928312.80713999993</v>
      </c>
      <c r="I24" s="4">
        <v>946632.79653999989</v>
      </c>
      <c r="J24" s="4">
        <v>914480.96581999992</v>
      </c>
      <c r="K24" s="4">
        <v>862897.50784000009</v>
      </c>
      <c r="L24" s="4">
        <v>891468.53704000008</v>
      </c>
      <c r="M24" s="4">
        <v>906001.39017999987</v>
      </c>
      <c r="N24" s="4">
        <v>1126465.9810399979</v>
      </c>
      <c r="O24" s="4">
        <v>925011.89653999801</v>
      </c>
      <c r="P24" s="4">
        <v>913933.31952000002</v>
      </c>
      <c r="Q24" s="4">
        <v>985637.59076909279</v>
      </c>
      <c r="R24" s="4">
        <v>1</v>
      </c>
      <c r="S24" s="4">
        <v>0</v>
      </c>
      <c r="T24">
        <f t="shared" si="0"/>
        <v>-8017.393238259363</v>
      </c>
      <c r="U24">
        <f t="shared" si="1"/>
        <v>8018.393238259363</v>
      </c>
      <c r="V24">
        <v>1035863.4476</v>
      </c>
      <c r="W24">
        <v>0</v>
      </c>
      <c r="X24">
        <v>954265.35616004979</v>
      </c>
      <c r="Y24">
        <v>1</v>
      </c>
      <c r="Z24">
        <f t="shared" si="2"/>
        <v>-8.0685949664664938E-3</v>
      </c>
    </row>
    <row r="25" spans="1:26" x14ac:dyDescent="0.3">
      <c r="A25">
        <v>20220107</v>
      </c>
      <c r="B25" s="5">
        <v>44568</v>
      </c>
      <c r="C25">
        <v>918593.26666502259</v>
      </c>
      <c r="D25" s="4">
        <v>883798.99439999997</v>
      </c>
      <c r="E25" s="5">
        <v>44568</v>
      </c>
      <c r="F25" s="4">
        <v>20220107</v>
      </c>
      <c r="G25" s="5"/>
      <c r="H25" s="4">
        <v>965267.2463</v>
      </c>
      <c r="I25" s="4">
        <v>994652.66542000009</v>
      </c>
      <c r="J25" s="4">
        <v>950823.44692000002</v>
      </c>
      <c r="K25" s="4">
        <v>893688.42634000001</v>
      </c>
      <c r="L25" s="4">
        <v>922020.21854000003</v>
      </c>
      <c r="M25" s="4">
        <v>926714.89854000008</v>
      </c>
      <c r="N25" s="4">
        <v>1160403.731599998</v>
      </c>
      <c r="O25" s="4">
        <v>973679.81125999801</v>
      </c>
      <c r="P25" s="4">
        <v>937872.33387999795</v>
      </c>
      <c r="Q25" s="4">
        <v>1025180.1622861361</v>
      </c>
      <c r="R25" s="4">
        <v>2</v>
      </c>
      <c r="S25" s="4">
        <v>0</v>
      </c>
      <c r="T25">
        <f t="shared" si="0"/>
        <v>39542.571517043281</v>
      </c>
      <c r="U25">
        <f t="shared" si="1"/>
        <v>-39540.571517043281</v>
      </c>
      <c r="V25">
        <v>1035863.4476</v>
      </c>
      <c r="W25">
        <v>0</v>
      </c>
      <c r="X25">
        <v>951805.14354590129</v>
      </c>
      <c r="Y25">
        <v>1</v>
      </c>
      <c r="Z25">
        <f t="shared" si="2"/>
        <v>-2.5781221106552232E-3</v>
      </c>
    </row>
    <row r="26" spans="1:26" x14ac:dyDescent="0.3">
      <c r="A26">
        <v>20220110</v>
      </c>
      <c r="B26" s="5">
        <v>44571</v>
      </c>
      <c r="C26">
        <v>906847.21456417697</v>
      </c>
      <c r="D26" s="4">
        <v>860401.75509999995</v>
      </c>
      <c r="E26" s="5">
        <v>44571</v>
      </c>
      <c r="F26" s="4">
        <v>20220110</v>
      </c>
      <c r="G26" s="5"/>
      <c r="H26" s="4">
        <v>942464.56994000007</v>
      </c>
      <c r="I26" s="4">
        <v>963732.29284000001</v>
      </c>
      <c r="J26" s="4">
        <v>914657.10177999991</v>
      </c>
      <c r="K26" s="4">
        <v>878257.15324000013</v>
      </c>
      <c r="L26" s="4">
        <v>895311.45011999796</v>
      </c>
      <c r="M26" s="4">
        <v>901137.83000000007</v>
      </c>
      <c r="N26" s="4">
        <v>1125272.260799998</v>
      </c>
      <c r="O26" s="4">
        <v>934054.23493999802</v>
      </c>
      <c r="P26" s="4">
        <v>911054.46061999793</v>
      </c>
      <c r="Q26" s="4">
        <v>982702.62454805907</v>
      </c>
      <c r="R26" s="4">
        <v>2</v>
      </c>
      <c r="S26" s="4">
        <v>0</v>
      </c>
      <c r="T26">
        <f t="shared" si="0"/>
        <v>-42477.537738076993</v>
      </c>
      <c r="U26">
        <f t="shared" si="1"/>
        <v>42479.537738076993</v>
      </c>
      <c r="V26">
        <v>1035863.4476</v>
      </c>
      <c r="W26">
        <v>0</v>
      </c>
      <c r="X26">
        <v>918571.28287518409</v>
      </c>
      <c r="Y26">
        <v>1</v>
      </c>
      <c r="Z26">
        <f t="shared" si="2"/>
        <v>-3.4916664294233749E-2</v>
      </c>
    </row>
    <row r="27" spans="1:26" x14ac:dyDescent="0.3">
      <c r="A27">
        <v>20220111</v>
      </c>
      <c r="B27" s="5">
        <v>44572</v>
      </c>
      <c r="C27">
        <v>930729.03595972457</v>
      </c>
      <c r="D27" s="4">
        <v>872841.29850000003</v>
      </c>
      <c r="E27" s="5">
        <v>44572</v>
      </c>
      <c r="F27" s="4">
        <v>20220111</v>
      </c>
      <c r="G27" s="5"/>
      <c r="H27" s="4">
        <v>933626.04813999997</v>
      </c>
      <c r="I27" s="4">
        <v>983875.40275999997</v>
      </c>
      <c r="J27" s="4">
        <v>911515.49235999992</v>
      </c>
      <c r="K27" s="4">
        <v>893104.9216</v>
      </c>
      <c r="L27" s="4">
        <v>913092.93171999813</v>
      </c>
      <c r="M27" s="4">
        <v>915040.91289999802</v>
      </c>
      <c r="N27" s="4">
        <v>1147887.6902799981</v>
      </c>
      <c r="O27" s="4">
        <v>941292.99213999812</v>
      </c>
      <c r="P27" s="4">
        <v>933325.03477999789</v>
      </c>
      <c r="Q27" s="4">
        <v>999296.14096652647</v>
      </c>
      <c r="R27" s="4">
        <v>2</v>
      </c>
      <c r="S27" s="4">
        <v>0</v>
      </c>
      <c r="T27">
        <f t="shared" si="0"/>
        <v>16593.516418467392</v>
      </c>
      <c r="U27">
        <f t="shared" si="1"/>
        <v>-16591.516418467392</v>
      </c>
      <c r="V27">
        <v>1035863.4476</v>
      </c>
      <c r="W27">
        <v>0</v>
      </c>
      <c r="X27">
        <v>918571.28287518409</v>
      </c>
      <c r="Y27">
        <v>0</v>
      </c>
      <c r="Z27">
        <f t="shared" si="2"/>
        <v>0</v>
      </c>
    </row>
    <row r="28" spans="1:26" x14ac:dyDescent="0.3">
      <c r="A28">
        <v>20220112</v>
      </c>
      <c r="B28" s="5">
        <v>44573</v>
      </c>
      <c r="C28">
        <v>914826.59965131676</v>
      </c>
      <c r="D28" s="4">
        <v>862171.19400000002</v>
      </c>
      <c r="E28" s="5">
        <v>44573</v>
      </c>
      <c r="F28" s="4">
        <v>20220112</v>
      </c>
      <c r="G28" s="5"/>
      <c r="H28" s="4">
        <v>924195.79723999999</v>
      </c>
      <c r="I28" s="4">
        <v>962696.49499999988</v>
      </c>
      <c r="J28" s="4">
        <v>891209.92655999993</v>
      </c>
      <c r="K28" s="4">
        <v>892327.7011399999</v>
      </c>
      <c r="L28" s="4">
        <v>897012.19785999996</v>
      </c>
      <c r="M28" s="4">
        <v>900974.23429999803</v>
      </c>
      <c r="N28" s="4">
        <v>1129551.6532400001</v>
      </c>
      <c r="O28" s="4">
        <v>932232.51733999792</v>
      </c>
      <c r="P28" s="4">
        <v>911561.98257999797</v>
      </c>
      <c r="Q28" s="4">
        <v>1001055.2619797895</v>
      </c>
      <c r="R28" s="4">
        <v>1</v>
      </c>
      <c r="S28" s="4">
        <v>0</v>
      </c>
      <c r="T28">
        <f t="shared" si="0"/>
        <v>1759.1210132630076</v>
      </c>
      <c r="U28">
        <f t="shared" si="1"/>
        <v>-1758.1210132630076</v>
      </c>
      <c r="V28">
        <v>1011612.1012</v>
      </c>
      <c r="W28">
        <v>1</v>
      </c>
      <c r="X28">
        <v>918571.28287518409</v>
      </c>
      <c r="Y28">
        <v>0</v>
      </c>
      <c r="Z28">
        <f t="shared" si="2"/>
        <v>0</v>
      </c>
    </row>
    <row r="29" spans="1:26" x14ac:dyDescent="0.3">
      <c r="A29">
        <v>20220113</v>
      </c>
      <c r="B29" s="5">
        <v>44574</v>
      </c>
      <c r="C29">
        <v>925573.06771742064</v>
      </c>
      <c r="D29" s="4">
        <v>875797.55480000004</v>
      </c>
      <c r="E29" s="5">
        <v>44574</v>
      </c>
      <c r="F29" s="4">
        <v>20220113</v>
      </c>
      <c r="G29" s="5"/>
      <c r="H29" s="4">
        <v>953474.94472000003</v>
      </c>
      <c r="I29" s="4">
        <v>966454.37432000006</v>
      </c>
      <c r="J29" s="4">
        <v>920260.82065999997</v>
      </c>
      <c r="K29" s="4">
        <v>919688.72207999998</v>
      </c>
      <c r="L29" s="4">
        <v>913156.47743999993</v>
      </c>
      <c r="M29" s="4">
        <v>920194.75415999792</v>
      </c>
      <c r="N29" s="4">
        <v>1157852.12326</v>
      </c>
      <c r="O29" s="4">
        <v>962642.37009999808</v>
      </c>
      <c r="P29" s="4">
        <v>937851.617719998</v>
      </c>
      <c r="Q29" s="4">
        <v>1035353.9725706</v>
      </c>
      <c r="R29" s="4">
        <v>1</v>
      </c>
      <c r="S29" s="4">
        <v>0</v>
      </c>
      <c r="T29">
        <f t="shared" si="0"/>
        <v>34298.710590810515</v>
      </c>
      <c r="U29">
        <f t="shared" si="1"/>
        <v>-34297.710590810515</v>
      </c>
      <c r="V29">
        <v>1040939.9878</v>
      </c>
      <c r="W29">
        <v>3</v>
      </c>
      <c r="X29">
        <v>918571.28287518409</v>
      </c>
      <c r="Y29">
        <v>0</v>
      </c>
      <c r="Z29">
        <f t="shared" si="2"/>
        <v>0</v>
      </c>
    </row>
    <row r="30" spans="1:26" x14ac:dyDescent="0.3">
      <c r="A30">
        <v>20220114</v>
      </c>
      <c r="B30" s="5">
        <v>44575</v>
      </c>
      <c r="C30">
        <v>940690.45263244933</v>
      </c>
      <c r="D30" s="4">
        <v>891584.32460000005</v>
      </c>
      <c r="E30" s="5">
        <v>44575</v>
      </c>
      <c r="F30" s="4">
        <v>20220114</v>
      </c>
      <c r="G30" s="5"/>
      <c r="H30" s="4">
        <v>980141.53775999998</v>
      </c>
      <c r="I30" s="4">
        <v>1011814.38576</v>
      </c>
      <c r="J30" s="4">
        <v>926572.08628000005</v>
      </c>
      <c r="K30" s="4">
        <v>954802.85852000001</v>
      </c>
      <c r="L30" s="4">
        <v>938140.45221999998</v>
      </c>
      <c r="M30" s="4">
        <v>939768.98942000011</v>
      </c>
      <c r="N30" s="4">
        <v>1185185.5833399999</v>
      </c>
      <c r="O30" s="4">
        <v>992231.00137999805</v>
      </c>
      <c r="P30" s="4">
        <v>942543.57152</v>
      </c>
      <c r="Q30" s="4">
        <v>1049282.8382761397</v>
      </c>
      <c r="R30" s="4">
        <v>3</v>
      </c>
      <c r="S30" s="4">
        <v>0</v>
      </c>
      <c r="T30">
        <f t="shared" si="0"/>
        <v>13928.865705539705</v>
      </c>
      <c r="U30">
        <f t="shared" si="1"/>
        <v>-13925.865705539705</v>
      </c>
      <c r="V30">
        <v>1103855.9672000001</v>
      </c>
      <c r="W30">
        <v>1</v>
      </c>
      <c r="X30">
        <v>918571.28287518409</v>
      </c>
      <c r="Y30">
        <v>0</v>
      </c>
      <c r="Z30">
        <f t="shared" si="2"/>
        <v>0</v>
      </c>
    </row>
    <row r="31" spans="1:26" x14ac:dyDescent="0.3">
      <c r="A31">
        <v>20220117</v>
      </c>
      <c r="B31" s="5">
        <v>44578</v>
      </c>
      <c r="C31">
        <v>932939.16330275801</v>
      </c>
      <c r="D31" s="4">
        <v>883331.18359999999</v>
      </c>
      <c r="E31" s="5">
        <v>44578</v>
      </c>
      <c r="F31" s="4">
        <v>20220117</v>
      </c>
      <c r="G31" s="5"/>
      <c r="H31" s="4">
        <v>948885.59672000003</v>
      </c>
      <c r="I31" s="4">
        <v>991632.00842000009</v>
      </c>
      <c r="J31" s="4">
        <v>913193.87060000002</v>
      </c>
      <c r="K31" s="4">
        <v>929936.23758000007</v>
      </c>
      <c r="L31" s="4">
        <v>928194.19699999806</v>
      </c>
      <c r="M31" s="4">
        <v>927165.45288</v>
      </c>
      <c r="N31" s="4">
        <v>1174867.6367599999</v>
      </c>
      <c r="O31" s="4">
        <v>968365.31785999797</v>
      </c>
      <c r="P31" s="4">
        <v>924947.79756000009</v>
      </c>
      <c r="Q31" s="4">
        <v>1024922.8229666783</v>
      </c>
      <c r="R31" s="4">
        <v>1</v>
      </c>
      <c r="S31" s="4">
        <v>0</v>
      </c>
      <c r="T31">
        <f t="shared" si="0"/>
        <v>-24360.015309461392</v>
      </c>
      <c r="U31">
        <f t="shared" si="1"/>
        <v>24361.015309461392</v>
      </c>
      <c r="V31">
        <v>1037182.89</v>
      </c>
      <c r="W31">
        <v>1</v>
      </c>
      <c r="X31">
        <v>918571.28287518409</v>
      </c>
      <c r="Y31">
        <v>0</v>
      </c>
      <c r="Z31">
        <f t="shared" si="2"/>
        <v>0</v>
      </c>
    </row>
    <row r="32" spans="1:26" x14ac:dyDescent="0.3">
      <c r="A32">
        <v>20220118</v>
      </c>
      <c r="B32" s="5">
        <v>44579</v>
      </c>
      <c r="C32">
        <v>912642.1388659433</v>
      </c>
      <c r="D32" s="4">
        <v>875160.56330000004</v>
      </c>
      <c r="E32" s="5">
        <v>44579</v>
      </c>
      <c r="F32" s="4">
        <v>20220118</v>
      </c>
      <c r="G32" s="5" t="s">
        <v>8</v>
      </c>
      <c r="H32" s="4">
        <v>936237.75584</v>
      </c>
      <c r="I32" s="4">
        <v>973907.04364000005</v>
      </c>
      <c r="J32" s="4">
        <v>905253.82023999805</v>
      </c>
      <c r="K32" s="4">
        <v>957671.69445999991</v>
      </c>
      <c r="L32" s="4">
        <v>916830.25775999797</v>
      </c>
      <c r="M32" s="4">
        <v>915401.15493999794</v>
      </c>
      <c r="N32" s="4">
        <v>1156933.50064</v>
      </c>
      <c r="O32" s="4">
        <v>978680.31233999808</v>
      </c>
      <c r="P32" s="4">
        <v>888333.57173999993</v>
      </c>
      <c r="Q32" s="4">
        <v>1001645.6440856118</v>
      </c>
      <c r="R32" s="4">
        <v>1</v>
      </c>
      <c r="S32" s="4">
        <v>0</v>
      </c>
      <c r="T32">
        <f t="shared" si="0"/>
        <v>-23277.178881066502</v>
      </c>
      <c r="U32">
        <f t="shared" si="1"/>
        <v>23278.178881066502</v>
      </c>
      <c r="V32">
        <v>1037182.89</v>
      </c>
      <c r="W32">
        <v>0</v>
      </c>
      <c r="X32">
        <v>884965.82689083368</v>
      </c>
      <c r="Y32">
        <v>2</v>
      </c>
      <c r="Z32">
        <f t="shared" si="2"/>
        <v>-3.6584483546190649E-2</v>
      </c>
    </row>
    <row r="33" spans="1:26" x14ac:dyDescent="0.3">
      <c r="A33">
        <v>20220119</v>
      </c>
      <c r="B33" s="5">
        <v>44580</v>
      </c>
      <c r="C33">
        <v>909666.01285110135</v>
      </c>
      <c r="D33" s="4">
        <v>857107.39049999998</v>
      </c>
      <c r="E33" s="5">
        <v>44580</v>
      </c>
      <c r="F33" s="4">
        <v>20220119</v>
      </c>
      <c r="G33" s="5"/>
      <c r="H33" s="4">
        <v>930094.97877999989</v>
      </c>
      <c r="I33" s="4">
        <v>951865.18293999997</v>
      </c>
      <c r="J33" s="4">
        <v>869964.53833999799</v>
      </c>
      <c r="K33" s="4">
        <v>936067.31804000004</v>
      </c>
      <c r="L33" s="4">
        <v>890914.11621999799</v>
      </c>
      <c r="M33" s="4">
        <v>889764.47413999797</v>
      </c>
      <c r="N33" s="4">
        <v>1125269.1564</v>
      </c>
      <c r="O33" s="4">
        <v>957334.1119999981</v>
      </c>
      <c r="P33" s="4">
        <v>851265.65578000003</v>
      </c>
      <c r="Q33" s="4">
        <v>958667.84589901404</v>
      </c>
      <c r="R33" s="4">
        <v>1</v>
      </c>
      <c r="S33" s="4">
        <v>0</v>
      </c>
      <c r="T33">
        <f t="shared" si="0"/>
        <v>-42977.798186597764</v>
      </c>
      <c r="U33">
        <f t="shared" si="1"/>
        <v>42978.798186597764</v>
      </c>
      <c r="V33">
        <v>1037182.89</v>
      </c>
      <c r="W33">
        <v>0</v>
      </c>
      <c r="X33">
        <v>884965.82689083368</v>
      </c>
      <c r="Y33">
        <v>0</v>
      </c>
      <c r="Z33">
        <f t="shared" si="2"/>
        <v>0</v>
      </c>
    </row>
    <row r="34" spans="1:26" x14ac:dyDescent="0.3">
      <c r="A34">
        <v>20220120</v>
      </c>
      <c r="B34" s="5">
        <v>44581</v>
      </c>
      <c r="C34">
        <v>900361.03920564742</v>
      </c>
      <c r="D34" s="4">
        <v>852580.58970000001</v>
      </c>
      <c r="E34" s="5">
        <v>44581</v>
      </c>
      <c r="F34" s="4">
        <v>20220120</v>
      </c>
      <c r="G34" s="5"/>
      <c r="H34" s="4">
        <v>888621.85830000008</v>
      </c>
      <c r="I34" s="4">
        <v>920676.6280400001</v>
      </c>
      <c r="J34" s="4">
        <v>861853.76453999802</v>
      </c>
      <c r="K34" s="4">
        <v>926229.50338000001</v>
      </c>
      <c r="L34" s="4">
        <v>878696.17057999806</v>
      </c>
      <c r="M34" s="4">
        <v>863327.97943999991</v>
      </c>
      <c r="N34" s="4">
        <v>1109707.64014</v>
      </c>
      <c r="O34" s="4">
        <v>922743.88481999806</v>
      </c>
      <c r="P34" s="4">
        <v>836199.41674000002</v>
      </c>
      <c r="Q34" s="4">
        <v>958667.84589901404</v>
      </c>
      <c r="R34" s="4">
        <v>0</v>
      </c>
      <c r="S34" s="4">
        <v>0</v>
      </c>
      <c r="T34">
        <f t="shared" si="0"/>
        <v>0</v>
      </c>
      <c r="U34">
        <f t="shared" si="1"/>
        <v>0</v>
      </c>
      <c r="V34">
        <v>1018120.7884</v>
      </c>
      <c r="W34">
        <v>2</v>
      </c>
      <c r="X34">
        <v>884965.82689083368</v>
      </c>
      <c r="Y34">
        <v>0</v>
      </c>
      <c r="Z34">
        <f t="shared" si="2"/>
        <v>0</v>
      </c>
    </row>
    <row r="35" spans="1:26" x14ac:dyDescent="0.3">
      <c r="A35">
        <v>20220121</v>
      </c>
      <c r="B35" s="5">
        <v>44582</v>
      </c>
      <c r="C35">
        <v>906800.42135804635</v>
      </c>
      <c r="D35" s="4">
        <v>857409.635799999</v>
      </c>
      <c r="E35" s="5">
        <v>44582</v>
      </c>
      <c r="F35" s="4">
        <v>20220121</v>
      </c>
      <c r="G35" s="5"/>
      <c r="H35" s="4">
        <v>898402.12388000009</v>
      </c>
      <c r="I35" s="4">
        <v>923771.8774</v>
      </c>
      <c r="J35" s="4">
        <v>886235.85237999796</v>
      </c>
      <c r="K35" s="4">
        <v>924488.0969</v>
      </c>
      <c r="L35" s="4">
        <v>886744.33007999812</v>
      </c>
      <c r="M35" s="4">
        <v>868703.834099998</v>
      </c>
      <c r="N35" s="4">
        <v>1118743.78844</v>
      </c>
      <c r="O35" s="4">
        <v>938350.46889999812</v>
      </c>
      <c r="P35" s="4">
        <v>848858.34945999994</v>
      </c>
      <c r="Q35" s="4">
        <v>958667.84589901404</v>
      </c>
      <c r="R35" s="4">
        <v>0</v>
      </c>
      <c r="S35" s="4">
        <v>0</v>
      </c>
      <c r="T35">
        <f t="shared" si="0"/>
        <v>0</v>
      </c>
      <c r="U35">
        <f t="shared" si="1"/>
        <v>0</v>
      </c>
      <c r="V35">
        <v>1031524.8334000001</v>
      </c>
      <c r="W35">
        <v>3</v>
      </c>
      <c r="X35">
        <v>906732.682570862</v>
      </c>
      <c r="Y35">
        <v>3</v>
      </c>
      <c r="Z35">
        <f t="shared" si="2"/>
        <v>2.459626690501961E-2</v>
      </c>
    </row>
    <row r="36" spans="1:26" x14ac:dyDescent="0.3">
      <c r="A36">
        <v>20220124</v>
      </c>
      <c r="B36" s="5">
        <v>44585</v>
      </c>
      <c r="C36">
        <v>882612.4269187419</v>
      </c>
      <c r="D36" s="4">
        <v>839852.46699999901</v>
      </c>
      <c r="E36" s="5">
        <v>44585</v>
      </c>
      <c r="F36" s="4">
        <v>20220124</v>
      </c>
      <c r="G36" s="5"/>
      <c r="H36" s="4">
        <v>890219.88920000009</v>
      </c>
      <c r="I36" s="4">
        <v>911618.70201999997</v>
      </c>
      <c r="J36" s="4">
        <v>873870.881219998</v>
      </c>
      <c r="K36" s="4">
        <v>912141.53518000001</v>
      </c>
      <c r="L36" s="4">
        <v>867514.96842000005</v>
      </c>
      <c r="M36" s="4">
        <v>851953.00573999807</v>
      </c>
      <c r="N36" s="4">
        <v>1090383.710479998</v>
      </c>
      <c r="O36" s="4">
        <v>923430.35859999806</v>
      </c>
      <c r="P36" s="4">
        <v>832103.33860000002</v>
      </c>
      <c r="Q36" s="4">
        <v>932899.5829396802</v>
      </c>
      <c r="R36" s="4">
        <v>2</v>
      </c>
      <c r="S36" s="4">
        <v>0</v>
      </c>
      <c r="T36">
        <f t="shared" si="0"/>
        <v>-25768.262959333835</v>
      </c>
      <c r="U36">
        <f t="shared" si="1"/>
        <v>25770.262959333835</v>
      </c>
      <c r="V36">
        <v>1004761.0354000001</v>
      </c>
      <c r="W36">
        <v>1</v>
      </c>
      <c r="X36">
        <v>875710.56908208621</v>
      </c>
      <c r="Y36">
        <v>3</v>
      </c>
      <c r="Z36">
        <f t="shared" si="2"/>
        <v>-3.4213075237145639E-2</v>
      </c>
    </row>
    <row r="37" spans="1:26" x14ac:dyDescent="0.3">
      <c r="A37">
        <v>20220125</v>
      </c>
      <c r="B37" s="5">
        <v>44586</v>
      </c>
      <c r="C37">
        <v>891337.93337126053</v>
      </c>
      <c r="D37" s="4">
        <v>844514.00780000002</v>
      </c>
      <c r="E37" s="5">
        <v>44586</v>
      </c>
      <c r="F37" s="4">
        <v>20220125</v>
      </c>
      <c r="G37" s="5"/>
      <c r="H37" s="4">
        <v>905316.10329999996</v>
      </c>
      <c r="I37" s="4">
        <v>930259.04842000012</v>
      </c>
      <c r="J37" s="4">
        <v>882270.71173999796</v>
      </c>
      <c r="K37" s="4">
        <v>927566.87633999996</v>
      </c>
      <c r="L37" s="4">
        <v>868793.45676000009</v>
      </c>
      <c r="M37" s="4">
        <v>859650.24631999806</v>
      </c>
      <c r="N37" s="4">
        <v>1094084.239219998</v>
      </c>
      <c r="O37" s="4">
        <v>925749.45885999803</v>
      </c>
      <c r="P37" s="4">
        <v>837731.69432000001</v>
      </c>
      <c r="Q37" s="4">
        <v>924033.58110861841</v>
      </c>
      <c r="R37" s="4">
        <v>2</v>
      </c>
      <c r="S37" s="4">
        <v>0</v>
      </c>
      <c r="T37">
        <f t="shared" si="0"/>
        <v>-8866.0018310617888</v>
      </c>
      <c r="U37">
        <f t="shared" si="1"/>
        <v>8868.0018310617888</v>
      </c>
      <c r="V37">
        <v>985361.32660000003</v>
      </c>
      <c r="W37">
        <v>1</v>
      </c>
      <c r="X37">
        <v>877599.40870775154</v>
      </c>
      <c r="Y37">
        <v>3</v>
      </c>
      <c r="Z37">
        <f t="shared" si="2"/>
        <v>2.1569222667315808E-3</v>
      </c>
    </row>
    <row r="38" spans="1:26" x14ac:dyDescent="0.3">
      <c r="A38">
        <v>20220126</v>
      </c>
      <c r="B38" s="5">
        <v>44587</v>
      </c>
      <c r="C38">
        <v>862353.40645389387</v>
      </c>
      <c r="D38" s="4">
        <v>828263.17429999996</v>
      </c>
      <c r="E38" s="5">
        <v>44587</v>
      </c>
      <c r="F38" s="4">
        <v>20220126</v>
      </c>
      <c r="G38" s="5"/>
      <c r="H38" s="4">
        <v>869792.21565999999</v>
      </c>
      <c r="I38" s="4">
        <v>906481.68663999997</v>
      </c>
      <c r="J38" s="4">
        <v>860858.99409999792</v>
      </c>
      <c r="K38" s="4">
        <v>894981.31412</v>
      </c>
      <c r="L38" s="4">
        <v>840989.07042</v>
      </c>
      <c r="M38" s="4">
        <v>836591.75975999807</v>
      </c>
      <c r="N38" s="4">
        <v>1058746.4634799981</v>
      </c>
      <c r="O38" s="4">
        <v>880236.89307999797</v>
      </c>
      <c r="P38" s="4">
        <v>829330.285619998</v>
      </c>
      <c r="Q38" s="4">
        <v>916463.83449298865</v>
      </c>
      <c r="R38" s="4">
        <v>1</v>
      </c>
      <c r="S38" s="4">
        <v>0</v>
      </c>
      <c r="T38">
        <f t="shared" si="0"/>
        <v>-7569.7466156297596</v>
      </c>
      <c r="U38">
        <f t="shared" si="1"/>
        <v>7570.7466156297596</v>
      </c>
      <c r="V38">
        <v>985361.32660000003</v>
      </c>
      <c r="W38">
        <v>0</v>
      </c>
      <c r="X38">
        <v>871049.88686966163</v>
      </c>
      <c r="Y38">
        <v>3</v>
      </c>
      <c r="Z38">
        <f t="shared" si="2"/>
        <v>-7.46299709537631E-3</v>
      </c>
    </row>
    <row r="39" spans="1:26" x14ac:dyDescent="0.3">
      <c r="A39">
        <v>20220127</v>
      </c>
      <c r="B39" s="5">
        <v>44588</v>
      </c>
      <c r="C39">
        <v>862987.23620763759</v>
      </c>
      <c r="D39" s="4">
        <v>826186.1115</v>
      </c>
      <c r="E39" s="5">
        <v>44588</v>
      </c>
      <c r="F39" s="4">
        <v>20220127</v>
      </c>
      <c r="G39" s="5"/>
      <c r="H39" s="4">
        <v>829015.69422000006</v>
      </c>
      <c r="I39" s="4">
        <v>901734.52599999995</v>
      </c>
      <c r="J39" s="4">
        <v>837987.84913999797</v>
      </c>
      <c r="K39" s="4">
        <v>908136.79115999991</v>
      </c>
      <c r="L39" s="4">
        <v>843508.44287999999</v>
      </c>
      <c r="M39" s="4">
        <v>839325.1207599981</v>
      </c>
      <c r="N39" s="4">
        <v>1059206.010259998</v>
      </c>
      <c r="O39" s="4">
        <v>847123.72277999797</v>
      </c>
      <c r="P39" s="4">
        <v>826724.84325999999</v>
      </c>
      <c r="Q39" s="4">
        <v>915639.79488384398</v>
      </c>
      <c r="R39" s="4">
        <v>2</v>
      </c>
      <c r="S39" s="4">
        <v>0</v>
      </c>
      <c r="T39">
        <f t="shared" si="0"/>
        <v>-824.03960914467461</v>
      </c>
      <c r="U39">
        <f t="shared" si="1"/>
        <v>826.03960914467461</v>
      </c>
      <c r="V39">
        <v>985361.32660000003</v>
      </c>
      <c r="W39">
        <v>0</v>
      </c>
      <c r="X39">
        <v>868418.13164694759</v>
      </c>
      <c r="Y39">
        <v>3</v>
      </c>
      <c r="Z39">
        <f t="shared" si="2"/>
        <v>-3.0213599271241734E-3</v>
      </c>
    </row>
    <row r="40" spans="1:26" x14ac:dyDescent="0.3">
      <c r="A40">
        <v>20220128</v>
      </c>
      <c r="B40" s="5">
        <v>44589</v>
      </c>
      <c r="C40">
        <v>865619.34727807087</v>
      </c>
      <c r="D40" s="4">
        <v>827459.44810000004</v>
      </c>
      <c r="E40" s="5">
        <v>44589</v>
      </c>
      <c r="G40" s="5"/>
      <c r="H40" s="4">
        <v>818609.15624000004</v>
      </c>
      <c r="I40" s="4">
        <v>933359.62697999994</v>
      </c>
      <c r="J40" s="4">
        <v>849891.93563999794</v>
      </c>
      <c r="K40" s="4">
        <v>902069.79306000005</v>
      </c>
      <c r="L40" s="4">
        <v>844817.75659999996</v>
      </c>
      <c r="M40" s="4">
        <v>838167.82125999802</v>
      </c>
      <c r="N40" s="4">
        <v>1062465.013279998</v>
      </c>
      <c r="O40" s="4">
        <v>812198.59599999804</v>
      </c>
      <c r="P40" s="4">
        <v>847770.24745999998</v>
      </c>
      <c r="Q40" s="4">
        <v>940728.9634975784</v>
      </c>
      <c r="R40" s="4">
        <v>1</v>
      </c>
      <c r="S40" s="4">
        <v>0</v>
      </c>
      <c r="T40">
        <f t="shared" si="0"/>
        <v>25089.168613734422</v>
      </c>
      <c r="U40">
        <f t="shared" si="1"/>
        <v>-25088.168613734422</v>
      </c>
      <c r="V40">
        <v>1042506.8432</v>
      </c>
      <c r="W40">
        <v>1</v>
      </c>
      <c r="X40">
        <v>892214.40787954733</v>
      </c>
      <c r="Y40">
        <v>3</v>
      </c>
      <c r="Z40">
        <f t="shared" si="2"/>
        <v>2.7401864799241709E-2</v>
      </c>
    </row>
    <row r="41" spans="1:26" x14ac:dyDescent="0.3">
      <c r="A41">
        <v>20220207</v>
      </c>
      <c r="B41" s="5">
        <v>44599</v>
      </c>
      <c r="C41">
        <v>844428.98565670359</v>
      </c>
      <c r="D41" s="4">
        <v>823117.01100000099</v>
      </c>
      <c r="E41" s="5">
        <v>44599</v>
      </c>
      <c r="F41" s="4">
        <v>20220207</v>
      </c>
      <c r="G41" s="5"/>
      <c r="H41" s="4">
        <v>820313.68888000003</v>
      </c>
      <c r="I41" s="4">
        <v>935588.20204000012</v>
      </c>
      <c r="J41" s="4">
        <v>829273.03299999796</v>
      </c>
      <c r="K41" s="4">
        <v>884519.82105999999</v>
      </c>
      <c r="L41" s="4">
        <v>837078.96551999997</v>
      </c>
      <c r="M41" s="4">
        <v>830735.29363999807</v>
      </c>
      <c r="N41" s="4">
        <v>1050596.3433199979</v>
      </c>
      <c r="O41" s="4">
        <v>787275.26579999807</v>
      </c>
      <c r="P41" s="4">
        <v>835448.53241999994</v>
      </c>
      <c r="Q41" s="4">
        <v>926957.59408726811</v>
      </c>
      <c r="R41" s="4">
        <v>2</v>
      </c>
      <c r="S41" s="4">
        <v>0</v>
      </c>
      <c r="T41">
        <f t="shared" si="0"/>
        <v>-13771.36941031029</v>
      </c>
      <c r="U41">
        <f t="shared" si="1"/>
        <v>13773.36941031029</v>
      </c>
      <c r="V41">
        <v>1027246.5789999999</v>
      </c>
      <c r="W41">
        <v>2</v>
      </c>
      <c r="X41">
        <v>866866.57750421797</v>
      </c>
      <c r="Y41">
        <v>3</v>
      </c>
      <c r="Z41">
        <f t="shared" si="2"/>
        <v>-2.8410021348536013E-2</v>
      </c>
    </row>
    <row r="42" spans="1:26" x14ac:dyDescent="0.3">
      <c r="A42">
        <v>20220208</v>
      </c>
      <c r="B42" s="5">
        <v>44600</v>
      </c>
      <c r="C42">
        <v>855425.98433691077</v>
      </c>
      <c r="D42" s="4">
        <v>842739.91910000099</v>
      </c>
      <c r="E42" s="5">
        <v>44600</v>
      </c>
      <c r="F42" s="4">
        <v>20220208</v>
      </c>
      <c r="G42" s="5"/>
      <c r="H42" s="4">
        <v>821540.61568000005</v>
      </c>
      <c r="I42" s="4">
        <v>966937.85331999999</v>
      </c>
      <c r="J42" s="4">
        <v>834986.21695999801</v>
      </c>
      <c r="K42" s="4">
        <v>890230.94802000001</v>
      </c>
      <c r="L42" s="4">
        <v>857625.68137999997</v>
      </c>
      <c r="M42" s="4">
        <v>847256.67933999805</v>
      </c>
      <c r="N42" s="4">
        <v>1076284.5401999981</v>
      </c>
      <c r="O42" s="4">
        <v>816616.15673999791</v>
      </c>
      <c r="P42" s="4">
        <v>852931.77667999989</v>
      </c>
      <c r="Q42" s="4">
        <v>926957.59408726811</v>
      </c>
      <c r="R42" s="4">
        <v>0</v>
      </c>
      <c r="S42" s="4">
        <v>0</v>
      </c>
      <c r="T42">
        <f t="shared" si="0"/>
        <v>0</v>
      </c>
      <c r="U42">
        <f t="shared" si="1"/>
        <v>0</v>
      </c>
      <c r="V42">
        <v>1048737.8446</v>
      </c>
      <c r="W42">
        <v>3</v>
      </c>
      <c r="X42">
        <v>890103.70016479702</v>
      </c>
      <c r="Y42">
        <v>3</v>
      </c>
      <c r="Z42">
        <f t="shared" si="2"/>
        <v>2.68058813935135E-2</v>
      </c>
    </row>
    <row r="43" spans="1:26" x14ac:dyDescent="0.3">
      <c r="A43">
        <v>20220209</v>
      </c>
      <c r="B43" s="5">
        <v>44601</v>
      </c>
      <c r="C43">
        <v>838479.14016121218</v>
      </c>
      <c r="D43" s="4">
        <v>832148.90810000105</v>
      </c>
      <c r="E43" s="5">
        <v>44601</v>
      </c>
      <c r="F43" s="4">
        <v>20220209</v>
      </c>
      <c r="G43" s="5"/>
      <c r="H43" s="4">
        <v>790216.30033999996</v>
      </c>
      <c r="I43" s="4">
        <v>932997.51351999992</v>
      </c>
      <c r="J43" s="4">
        <v>823418.85391999804</v>
      </c>
      <c r="K43" s="4">
        <v>869510.84338000009</v>
      </c>
      <c r="L43" s="4">
        <v>845456.48836000008</v>
      </c>
      <c r="M43" s="4">
        <v>834892.71269999794</v>
      </c>
      <c r="N43" s="4">
        <v>1058332.1566399981</v>
      </c>
      <c r="O43" s="4">
        <v>800578.19699999806</v>
      </c>
      <c r="P43" s="4">
        <v>841122.96686000004</v>
      </c>
      <c r="Q43" s="4">
        <v>912786.99410071573</v>
      </c>
      <c r="R43" s="4">
        <v>1</v>
      </c>
      <c r="S43" s="4">
        <v>0</v>
      </c>
      <c r="T43">
        <f t="shared" si="0"/>
        <v>-14170.599986552377</v>
      </c>
      <c r="U43">
        <f t="shared" si="1"/>
        <v>14171.599986552377</v>
      </c>
      <c r="V43">
        <v>1048737.8446</v>
      </c>
      <c r="W43">
        <v>0</v>
      </c>
      <c r="X43">
        <v>868240.7166734956</v>
      </c>
      <c r="Y43">
        <v>3</v>
      </c>
      <c r="Z43">
        <f t="shared" si="2"/>
        <v>-2.4562288065147497E-2</v>
      </c>
    </row>
    <row r="44" spans="1:26" x14ac:dyDescent="0.3">
      <c r="A44">
        <v>20220210</v>
      </c>
      <c r="B44" s="5">
        <v>44602</v>
      </c>
      <c r="C44">
        <v>814694.00239225908</v>
      </c>
      <c r="D44" s="4">
        <v>812328.93810000096</v>
      </c>
      <c r="E44" s="5">
        <v>44602</v>
      </c>
      <c r="F44" s="4">
        <v>20220210</v>
      </c>
      <c r="G44" s="5"/>
      <c r="H44" s="4">
        <v>772298.03380000009</v>
      </c>
      <c r="I44" s="4">
        <v>905522.35172000004</v>
      </c>
      <c r="J44" s="4">
        <v>799496.72693999799</v>
      </c>
      <c r="K44" s="4">
        <v>842188.96368000004</v>
      </c>
      <c r="L44" s="4">
        <v>820033.06368000002</v>
      </c>
      <c r="M44" s="4">
        <v>809816.51239999803</v>
      </c>
      <c r="N44" s="4">
        <v>1027069.1329399981</v>
      </c>
      <c r="O44" s="4">
        <v>771281.68223999802</v>
      </c>
      <c r="P44" s="4">
        <v>814183.27605999995</v>
      </c>
      <c r="Q44" s="4">
        <v>892093.09675852535</v>
      </c>
      <c r="R44" s="4">
        <v>1</v>
      </c>
      <c r="S44" s="4">
        <v>0</v>
      </c>
      <c r="T44">
        <f t="shared" si="0"/>
        <v>-20693.897342190379</v>
      </c>
      <c r="U44">
        <f t="shared" si="1"/>
        <v>20694.897342190379</v>
      </c>
      <c r="V44">
        <v>1048737.8446</v>
      </c>
      <c r="W44">
        <v>0</v>
      </c>
      <c r="X44">
        <v>843388.45966280659</v>
      </c>
      <c r="Y44">
        <v>3</v>
      </c>
      <c r="Z44">
        <f t="shared" si="2"/>
        <v>-2.8623694481762905E-2</v>
      </c>
    </row>
    <row r="45" spans="1:26" x14ac:dyDescent="0.3">
      <c r="A45">
        <v>20220211</v>
      </c>
      <c r="B45" s="5">
        <v>44603</v>
      </c>
      <c r="C45">
        <v>810417.67357370211</v>
      </c>
      <c r="D45" s="4">
        <v>812328.93810000096</v>
      </c>
      <c r="E45" s="5">
        <v>44603</v>
      </c>
      <c r="G45" s="5"/>
      <c r="H45" s="4">
        <v>772298.03380000009</v>
      </c>
      <c r="I45" s="4">
        <v>905522.35172000004</v>
      </c>
      <c r="J45" s="4">
        <v>799496.72693999799</v>
      </c>
      <c r="K45" s="4">
        <v>842188.96368000004</v>
      </c>
      <c r="L45" s="4">
        <v>820033.06368000002</v>
      </c>
      <c r="M45" s="4">
        <v>809816.51239999803</v>
      </c>
      <c r="N45" s="4">
        <v>1027069.1329399981</v>
      </c>
      <c r="O45" s="4">
        <v>771281.68223999802</v>
      </c>
      <c r="P45" s="4">
        <v>814183.27605999995</v>
      </c>
      <c r="Q45" s="4">
        <v>892093.09675852535</v>
      </c>
      <c r="R45" s="4">
        <v>0</v>
      </c>
      <c r="S45" s="4">
        <v>0</v>
      </c>
      <c r="T45">
        <f t="shared" si="0"/>
        <v>0</v>
      </c>
      <c r="U45">
        <f t="shared" si="1"/>
        <v>0</v>
      </c>
      <c r="V45">
        <v>1048737.8446</v>
      </c>
      <c r="W45">
        <v>0</v>
      </c>
      <c r="X45">
        <v>843388.45966280659</v>
      </c>
      <c r="Y45">
        <v>0</v>
      </c>
      <c r="Z45">
        <f t="shared" si="2"/>
        <v>0</v>
      </c>
    </row>
    <row r="46" spans="1:26" x14ac:dyDescent="0.3">
      <c r="A46">
        <v>20220214</v>
      </c>
      <c r="B46" s="5">
        <v>44606</v>
      </c>
      <c r="C46">
        <v>835450.66509272018</v>
      </c>
      <c r="D46" s="4">
        <v>812328.93810000096</v>
      </c>
      <c r="E46" s="5">
        <v>44606</v>
      </c>
      <c r="G46" s="5"/>
      <c r="H46" s="4">
        <v>772298.03380000009</v>
      </c>
      <c r="I46" s="4">
        <v>905522.35172000004</v>
      </c>
      <c r="J46" s="4">
        <v>799496.72693999799</v>
      </c>
      <c r="K46" s="4">
        <v>842188.96368000004</v>
      </c>
      <c r="L46" s="4">
        <v>820033.06368000002</v>
      </c>
      <c r="M46" s="4">
        <v>809816.51239999803</v>
      </c>
      <c r="N46" s="4">
        <v>1027069.1329399981</v>
      </c>
      <c r="O46" s="4">
        <v>771281.68223999802</v>
      </c>
      <c r="P46" s="4">
        <v>814183.27605999995</v>
      </c>
      <c r="Q46" s="4">
        <v>892093.09675852535</v>
      </c>
      <c r="R46" s="4">
        <v>0</v>
      </c>
      <c r="S46" s="4">
        <v>0</v>
      </c>
      <c r="T46">
        <f t="shared" si="0"/>
        <v>0</v>
      </c>
      <c r="U46">
        <f t="shared" si="1"/>
        <v>0</v>
      </c>
      <c r="V46">
        <v>1048737.8446</v>
      </c>
      <c r="W46">
        <v>0</v>
      </c>
      <c r="X46">
        <v>843388.45966280659</v>
      </c>
      <c r="Y46">
        <v>0</v>
      </c>
      <c r="Z46">
        <f t="shared" si="2"/>
        <v>0</v>
      </c>
    </row>
    <row r="47" spans="1:26" x14ac:dyDescent="0.3">
      <c r="A47">
        <v>20220215</v>
      </c>
      <c r="B47" s="5">
        <v>44607</v>
      </c>
      <c r="C47">
        <v>836016.26519298786</v>
      </c>
      <c r="D47" s="4">
        <v>812328.93810000096</v>
      </c>
      <c r="E47" s="5">
        <v>44607</v>
      </c>
      <c r="G47" s="5"/>
      <c r="H47" s="4">
        <v>772298.03380000009</v>
      </c>
      <c r="I47" s="4">
        <v>905522.35172000004</v>
      </c>
      <c r="J47" s="4">
        <v>799496.72693999799</v>
      </c>
      <c r="K47" s="4">
        <v>842188.96368000004</v>
      </c>
      <c r="L47" s="4">
        <v>820033.06368000002</v>
      </c>
      <c r="M47" s="4">
        <v>809816.51239999803</v>
      </c>
      <c r="N47" s="4">
        <v>1027069.1329399981</v>
      </c>
      <c r="O47" s="4">
        <v>771281.68223999802</v>
      </c>
      <c r="P47" s="4">
        <v>814183.27605999995</v>
      </c>
      <c r="Q47" s="4">
        <v>892093.09675852535</v>
      </c>
      <c r="R47" s="4">
        <v>0</v>
      </c>
      <c r="S47" s="4">
        <v>0</v>
      </c>
      <c r="T47">
        <f t="shared" si="0"/>
        <v>0</v>
      </c>
      <c r="U47">
        <f t="shared" si="1"/>
        <v>0</v>
      </c>
      <c r="V47">
        <v>1048737.8446</v>
      </c>
      <c r="W47">
        <v>0</v>
      </c>
      <c r="X47">
        <v>843388.45966280659</v>
      </c>
      <c r="Y47">
        <v>0</v>
      </c>
      <c r="Z47">
        <f t="shared" si="2"/>
        <v>0</v>
      </c>
    </row>
    <row r="48" spans="1:26" x14ac:dyDescent="0.3">
      <c r="A48">
        <v>20220216</v>
      </c>
      <c r="B48" s="5">
        <v>44608</v>
      </c>
      <c r="C48">
        <v>842359.1205970071</v>
      </c>
      <c r="D48" s="4">
        <v>811378.88890000095</v>
      </c>
      <c r="E48" s="5">
        <v>44608</v>
      </c>
      <c r="F48" s="4">
        <v>20220216</v>
      </c>
      <c r="G48" s="5"/>
      <c r="H48" s="4">
        <v>787238.81403999997</v>
      </c>
      <c r="I48" s="4">
        <v>906629.73988000001</v>
      </c>
      <c r="J48" s="4">
        <v>799436.53445999802</v>
      </c>
      <c r="K48" s="4">
        <v>849404.38575999998</v>
      </c>
      <c r="L48" s="4">
        <v>819309.55417999998</v>
      </c>
      <c r="M48" s="4">
        <v>808415.51513999805</v>
      </c>
      <c r="N48" s="4">
        <v>1024860.959159998</v>
      </c>
      <c r="O48" s="4">
        <v>787963.00759999803</v>
      </c>
      <c r="P48" s="4">
        <v>827479.36965999799</v>
      </c>
      <c r="Q48" s="4">
        <v>946349.06969738612</v>
      </c>
      <c r="R48" s="4">
        <v>1</v>
      </c>
      <c r="S48" s="4">
        <v>0</v>
      </c>
      <c r="T48">
        <f t="shared" si="0"/>
        <v>54255.972938860767</v>
      </c>
      <c r="U48">
        <f t="shared" si="1"/>
        <v>-54254.972938860767</v>
      </c>
      <c r="V48">
        <v>1065953.2738000001</v>
      </c>
      <c r="W48">
        <v>2</v>
      </c>
      <c r="X48">
        <v>856945.21654346806</v>
      </c>
      <c r="Y48">
        <v>3</v>
      </c>
      <c r="Z48">
        <f t="shared" si="2"/>
        <v>1.6074155065011884E-2</v>
      </c>
    </row>
    <row r="49" spans="1:26" x14ac:dyDescent="0.3">
      <c r="A49">
        <v>20220217</v>
      </c>
      <c r="B49" s="5">
        <v>44609</v>
      </c>
      <c r="C49">
        <v>838485.95336050214</v>
      </c>
      <c r="D49" s="4">
        <v>808976.38390000095</v>
      </c>
      <c r="E49" s="5">
        <v>44609</v>
      </c>
      <c r="F49" s="4">
        <v>20220217</v>
      </c>
      <c r="G49" s="5"/>
      <c r="H49" s="4">
        <v>787141.06830000004</v>
      </c>
      <c r="I49" s="4">
        <v>900111.98051999998</v>
      </c>
      <c r="J49" s="4">
        <v>793672.71071999799</v>
      </c>
      <c r="K49" s="4">
        <v>831422.19524000003</v>
      </c>
      <c r="L49" s="4">
        <v>816584.74308000004</v>
      </c>
      <c r="M49" s="4">
        <v>805715.00947999791</v>
      </c>
      <c r="N49" s="4">
        <v>1022618.092779998</v>
      </c>
      <c r="O49" s="4">
        <v>786289.215459998</v>
      </c>
      <c r="P49" s="4">
        <v>825245.58299999801</v>
      </c>
      <c r="Q49" s="4">
        <v>957191.54545997875</v>
      </c>
      <c r="R49" s="4">
        <v>3</v>
      </c>
      <c r="S49" s="4">
        <v>0</v>
      </c>
      <c r="T49">
        <f t="shared" si="0"/>
        <v>10842.475762592629</v>
      </c>
      <c r="U49">
        <f t="shared" si="1"/>
        <v>-10839.475762592629</v>
      </c>
      <c r="V49">
        <v>1065953.2738000001</v>
      </c>
      <c r="W49">
        <v>0</v>
      </c>
      <c r="X49">
        <v>866763.26375472464</v>
      </c>
      <c r="Y49">
        <v>3</v>
      </c>
      <c r="Z49">
        <f t="shared" si="2"/>
        <v>1.1457030183164062E-2</v>
      </c>
    </row>
    <row r="50" spans="1:26" x14ac:dyDescent="0.3">
      <c r="A50">
        <v>20220218</v>
      </c>
      <c r="B50" s="5">
        <v>44610</v>
      </c>
      <c r="C50">
        <v>831882.87647778809</v>
      </c>
      <c r="D50" s="4">
        <v>804256.08340000105</v>
      </c>
      <c r="E50" s="5">
        <v>44610</v>
      </c>
      <c r="F50" s="4">
        <v>20220218</v>
      </c>
      <c r="G50" s="5"/>
      <c r="H50" s="4">
        <v>777227.80377999996</v>
      </c>
      <c r="I50" s="4">
        <v>887837.35326</v>
      </c>
      <c r="J50" s="4">
        <v>782934.19635999796</v>
      </c>
      <c r="K50" s="4">
        <v>831318.22939999995</v>
      </c>
      <c r="L50" s="4">
        <v>811445.42145999998</v>
      </c>
      <c r="M50" s="4">
        <v>800508.49747999804</v>
      </c>
      <c r="N50" s="4">
        <v>1016496.3654799979</v>
      </c>
      <c r="O50" s="4">
        <v>792540.61711999797</v>
      </c>
      <c r="P50" s="4">
        <v>816696.75847999798</v>
      </c>
      <c r="Q50" s="4">
        <v>957191.54545997875</v>
      </c>
      <c r="R50" s="4">
        <v>0</v>
      </c>
      <c r="S50" s="4">
        <v>0</v>
      </c>
      <c r="T50">
        <f t="shared" si="0"/>
        <v>0</v>
      </c>
      <c r="U50">
        <f t="shared" si="1"/>
        <v>0</v>
      </c>
      <c r="V50">
        <v>1051842.2919999999</v>
      </c>
      <c r="W50">
        <v>1</v>
      </c>
      <c r="X50">
        <v>858543.5095813279</v>
      </c>
      <c r="Y50">
        <v>3</v>
      </c>
      <c r="Z50">
        <f t="shared" si="2"/>
        <v>-9.4832747500045774E-3</v>
      </c>
    </row>
    <row r="51" spans="1:26" x14ac:dyDescent="0.3">
      <c r="A51">
        <v>20220221</v>
      </c>
      <c r="B51" s="5">
        <v>44613</v>
      </c>
      <c r="C51">
        <v>820394.57395362994</v>
      </c>
      <c r="D51" s="4">
        <v>802100.71889999998</v>
      </c>
      <c r="E51" s="5">
        <v>44613</v>
      </c>
      <c r="F51" s="4">
        <v>20220221</v>
      </c>
      <c r="G51" s="5"/>
      <c r="H51" s="4">
        <v>780678.56213999994</v>
      </c>
      <c r="I51" s="4">
        <v>876224.46087999991</v>
      </c>
      <c r="J51" s="4">
        <v>790207.39793999994</v>
      </c>
      <c r="K51" s="4">
        <v>833882.30398000008</v>
      </c>
      <c r="L51" s="4">
        <v>809221.46473999997</v>
      </c>
      <c r="M51" s="4">
        <v>801298.46095999796</v>
      </c>
      <c r="N51" s="4">
        <v>1016803.3908999979</v>
      </c>
      <c r="O51" s="4">
        <v>805742.52333999798</v>
      </c>
      <c r="P51" s="4">
        <v>825618.62059999793</v>
      </c>
      <c r="Q51" s="4">
        <v>957191.54545997875</v>
      </c>
      <c r="R51" s="4">
        <v>0</v>
      </c>
      <c r="S51" s="4">
        <v>0</v>
      </c>
      <c r="T51">
        <f t="shared" si="0"/>
        <v>0</v>
      </c>
      <c r="U51">
        <f t="shared" si="1"/>
        <v>0</v>
      </c>
      <c r="V51">
        <v>1063322.074</v>
      </c>
      <c r="W51">
        <v>3</v>
      </c>
      <c r="X51">
        <v>874433.58846574521</v>
      </c>
      <c r="Y51">
        <v>3</v>
      </c>
      <c r="Z51">
        <f t="shared" si="2"/>
        <v>1.8508181247757806E-2</v>
      </c>
    </row>
    <row r="52" spans="1:26" x14ac:dyDescent="0.3">
      <c r="A52">
        <v>20220222</v>
      </c>
      <c r="B52" s="5">
        <v>44614</v>
      </c>
      <c r="C52">
        <v>843504.26870732976</v>
      </c>
      <c r="D52" s="4">
        <v>842897.71109999996</v>
      </c>
      <c r="E52" s="5">
        <v>44614</v>
      </c>
      <c r="F52" s="4">
        <v>20220222</v>
      </c>
      <c r="G52" s="5"/>
      <c r="H52" s="4">
        <v>801287.11046</v>
      </c>
      <c r="I52" s="4">
        <v>885010.19162000006</v>
      </c>
      <c r="J52" s="4">
        <v>831048.62015999795</v>
      </c>
      <c r="K52" s="4">
        <v>885228.24585999991</v>
      </c>
      <c r="L52" s="4">
        <v>853340.55417999998</v>
      </c>
      <c r="M52" s="4">
        <v>847403.81681999809</v>
      </c>
      <c r="N52" s="4">
        <v>1073873.7412799981</v>
      </c>
      <c r="O52" s="4">
        <v>850635.42563999793</v>
      </c>
      <c r="P52" s="4">
        <v>873447.08127999806</v>
      </c>
      <c r="Q52" s="4">
        <v>957191.54545997875</v>
      </c>
      <c r="R52" s="4">
        <v>0</v>
      </c>
      <c r="S52" s="4">
        <v>0</v>
      </c>
      <c r="T52">
        <f t="shared" si="0"/>
        <v>0</v>
      </c>
      <c r="U52">
        <f t="shared" si="1"/>
        <v>0</v>
      </c>
      <c r="V52">
        <v>1125185.9373999999</v>
      </c>
      <c r="W52">
        <v>3</v>
      </c>
      <c r="X52">
        <v>922652.99621952465</v>
      </c>
      <c r="Y52">
        <v>3</v>
      </c>
      <c r="Z52">
        <f t="shared" si="2"/>
        <v>5.514359053657094E-2</v>
      </c>
    </row>
    <row r="53" spans="1:26" x14ac:dyDescent="0.3">
      <c r="A53">
        <v>20220223</v>
      </c>
      <c r="B53" s="5">
        <v>44615</v>
      </c>
      <c r="C53">
        <v>825704.6416290676</v>
      </c>
      <c r="D53" s="4">
        <v>829662.20810000098</v>
      </c>
      <c r="E53" s="5">
        <v>44615</v>
      </c>
      <c r="F53" s="4">
        <v>20220223</v>
      </c>
      <c r="G53" s="5"/>
      <c r="H53" s="4">
        <v>791958.59022000001</v>
      </c>
      <c r="I53" s="4">
        <v>865656.91860000009</v>
      </c>
      <c r="J53" s="4">
        <v>816453.58879999793</v>
      </c>
      <c r="K53" s="4">
        <v>864365.56568</v>
      </c>
      <c r="L53" s="4">
        <v>839008.68388000003</v>
      </c>
      <c r="M53" s="4">
        <v>833006.81911999802</v>
      </c>
      <c r="N53" s="4">
        <v>1058976.1726399981</v>
      </c>
      <c r="O53" s="4">
        <v>836622.31073999801</v>
      </c>
      <c r="P53" s="4">
        <v>875463.77195999806</v>
      </c>
      <c r="Q53" s="4">
        <v>1002173.3209312521</v>
      </c>
      <c r="R53" s="4">
        <v>1</v>
      </c>
      <c r="S53" s="4">
        <v>0</v>
      </c>
      <c r="T53">
        <f t="shared" si="0"/>
        <v>44981.775471273344</v>
      </c>
      <c r="U53">
        <f t="shared" si="1"/>
        <v>-44980.775471273344</v>
      </c>
      <c r="V53">
        <v>1125185.9373999999</v>
      </c>
      <c r="W53">
        <v>0</v>
      </c>
      <c r="X53">
        <v>928817.45777901681</v>
      </c>
      <c r="Y53">
        <v>3</v>
      </c>
      <c r="Z53">
        <f t="shared" si="2"/>
        <v>6.6812350740206861E-3</v>
      </c>
    </row>
    <row r="54" spans="1:26" x14ac:dyDescent="0.3">
      <c r="A54">
        <v>20220224</v>
      </c>
      <c r="B54" s="5">
        <v>44616</v>
      </c>
      <c r="C54">
        <v>847018.55554343876</v>
      </c>
      <c r="D54" s="4">
        <v>838486.20560000103</v>
      </c>
      <c r="E54" s="5">
        <v>44616</v>
      </c>
      <c r="F54" s="4">
        <v>20220224</v>
      </c>
      <c r="G54" s="5"/>
      <c r="H54" s="4">
        <v>803841.48441999999</v>
      </c>
      <c r="I54" s="4">
        <v>879481.43313999998</v>
      </c>
      <c r="J54" s="4">
        <v>821613.85885999794</v>
      </c>
      <c r="K54" s="4">
        <v>875557.98690000013</v>
      </c>
      <c r="L54" s="4">
        <v>849536.49618000002</v>
      </c>
      <c r="M54" s="4">
        <v>843524.53579999809</v>
      </c>
      <c r="N54" s="4">
        <v>1073071.692899998</v>
      </c>
      <c r="O54" s="4">
        <v>847169.46813999803</v>
      </c>
      <c r="P54" s="4">
        <v>884282.2486999979</v>
      </c>
      <c r="Q54" s="4">
        <v>1013676.2654080064</v>
      </c>
      <c r="R54" s="4">
        <v>1</v>
      </c>
      <c r="S54" s="4">
        <v>0</v>
      </c>
      <c r="T54">
        <f t="shared" si="0"/>
        <v>11502.944476754288</v>
      </c>
      <c r="U54">
        <f t="shared" si="1"/>
        <v>-11501.944476754288</v>
      </c>
      <c r="V54">
        <v>1138100.7028000001</v>
      </c>
      <c r="W54">
        <v>1</v>
      </c>
      <c r="X54">
        <v>937774.71797217638</v>
      </c>
      <c r="Y54">
        <v>3</v>
      </c>
      <c r="Z54">
        <f t="shared" si="2"/>
        <v>9.643725059365402E-3</v>
      </c>
    </row>
    <row r="55" spans="1:26" x14ac:dyDescent="0.3">
      <c r="A55">
        <v>20220225</v>
      </c>
      <c r="B55" s="5">
        <v>44617</v>
      </c>
      <c r="C55">
        <v>854569.72596610838</v>
      </c>
      <c r="D55" s="4">
        <v>842350.85480000102</v>
      </c>
      <c r="E55" s="5">
        <v>44617</v>
      </c>
      <c r="F55" s="4">
        <v>20220225</v>
      </c>
      <c r="G55" s="5"/>
      <c r="H55" s="4">
        <v>800811.92512000003</v>
      </c>
      <c r="I55" s="4">
        <v>871851.62936000002</v>
      </c>
      <c r="J55" s="4">
        <v>820430.98045999999</v>
      </c>
      <c r="K55" s="4">
        <v>872900.26974000002</v>
      </c>
      <c r="L55" s="4">
        <v>851641.5284800001</v>
      </c>
      <c r="M55" s="4">
        <v>844563.09563999786</v>
      </c>
      <c r="N55" s="4">
        <v>1076462.6401399979</v>
      </c>
      <c r="O55" s="4">
        <v>826699.03861999803</v>
      </c>
      <c r="P55" s="4">
        <v>884450.72309999797</v>
      </c>
      <c r="Q55" s="4">
        <v>1000528.9118698473</v>
      </c>
      <c r="R55" s="4">
        <v>2</v>
      </c>
      <c r="S55" s="4">
        <v>0</v>
      </c>
      <c r="T55">
        <f t="shared" si="0"/>
        <v>-13147.353538159048</v>
      </c>
      <c r="U55">
        <f t="shared" si="1"/>
        <v>13149.353538159048</v>
      </c>
      <c r="V55">
        <v>1138100.7028000001</v>
      </c>
      <c r="W55">
        <v>0</v>
      </c>
      <c r="X55">
        <v>925612.35994946875</v>
      </c>
      <c r="Y55">
        <v>3</v>
      </c>
      <c r="Z55">
        <f t="shared" si="2"/>
        <v>-1.2969381440573755E-2</v>
      </c>
    </row>
    <row r="56" spans="1:26" x14ac:dyDescent="0.3">
      <c r="A56">
        <v>20220228</v>
      </c>
      <c r="B56" s="5">
        <v>44620</v>
      </c>
      <c r="C56">
        <v>855884.90877437033</v>
      </c>
      <c r="D56" s="4">
        <v>842809.4227</v>
      </c>
      <c r="E56" s="5">
        <v>44620</v>
      </c>
      <c r="F56" s="4">
        <v>20220228</v>
      </c>
      <c r="G56" s="5"/>
      <c r="H56" s="4">
        <v>795395.46464000002</v>
      </c>
      <c r="I56" s="4">
        <v>861345.49338000012</v>
      </c>
      <c r="J56" s="4">
        <v>823216.99312</v>
      </c>
      <c r="K56" s="4">
        <v>862913.11923999991</v>
      </c>
      <c r="L56" s="4">
        <v>849541.56117999996</v>
      </c>
      <c r="M56" s="4">
        <v>841756.42525999807</v>
      </c>
      <c r="N56" s="4">
        <v>1073615.014139998</v>
      </c>
      <c r="O56" s="4">
        <v>826560.61285999801</v>
      </c>
      <c r="P56" s="4">
        <v>892963.92179999803</v>
      </c>
      <c r="Q56" s="4">
        <v>998627.10561532679</v>
      </c>
      <c r="R56" s="4">
        <v>1</v>
      </c>
      <c r="S56" s="4">
        <v>0</v>
      </c>
      <c r="T56">
        <f t="shared" si="0"/>
        <v>-1901.8062545205466</v>
      </c>
      <c r="U56">
        <f t="shared" si="1"/>
        <v>1902.8062545205466</v>
      </c>
      <c r="V56">
        <v>1142933.7104</v>
      </c>
      <c r="W56">
        <v>2</v>
      </c>
      <c r="X56">
        <v>923853.18170601432</v>
      </c>
      <c r="Y56">
        <v>3</v>
      </c>
      <c r="Z56">
        <f t="shared" si="2"/>
        <v>-1.9005561286481382E-3</v>
      </c>
    </row>
    <row r="57" spans="1:26" x14ac:dyDescent="0.3">
      <c r="A57">
        <v>20220301</v>
      </c>
      <c r="B57" s="5">
        <v>44621</v>
      </c>
      <c r="C57">
        <v>840700.65460780414</v>
      </c>
      <c r="D57" s="4">
        <v>835540.35279999999</v>
      </c>
      <c r="E57" s="5">
        <v>44621</v>
      </c>
      <c r="F57" s="4">
        <v>20220301</v>
      </c>
      <c r="G57" s="5"/>
      <c r="H57" s="4">
        <v>785358.43106000009</v>
      </c>
      <c r="I57" s="4">
        <v>854465.64008000004</v>
      </c>
      <c r="J57" s="4">
        <v>799468.73641999997</v>
      </c>
      <c r="K57" s="4">
        <v>827696.64119999995</v>
      </c>
      <c r="L57" s="4">
        <v>842046.24103999999</v>
      </c>
      <c r="M57" s="4">
        <v>833958.41025999805</v>
      </c>
      <c r="N57" s="4">
        <v>1067805.449559998</v>
      </c>
      <c r="O57" s="4">
        <v>812042.36243999796</v>
      </c>
      <c r="P57" s="4">
        <v>883024.15441999992</v>
      </c>
      <c r="Q57" s="4">
        <v>982959.04592329881</v>
      </c>
      <c r="R57" s="4">
        <v>1</v>
      </c>
      <c r="S57" s="4">
        <v>0</v>
      </c>
      <c r="T57">
        <f t="shared" si="0"/>
        <v>-15668.059692027979</v>
      </c>
      <c r="U57">
        <f t="shared" si="1"/>
        <v>15669.059692027979</v>
      </c>
      <c r="V57">
        <v>1130126.2985999999</v>
      </c>
      <c r="W57">
        <v>2</v>
      </c>
      <c r="X57">
        <v>909358.19206745806</v>
      </c>
      <c r="Y57">
        <v>3</v>
      </c>
      <c r="Z57">
        <f t="shared" si="2"/>
        <v>-1.5689711228562733E-2</v>
      </c>
    </row>
    <row r="58" spans="1:26" x14ac:dyDescent="0.3">
      <c r="A58">
        <v>20220302</v>
      </c>
      <c r="B58" s="5">
        <v>44622</v>
      </c>
      <c r="C58">
        <v>828027.09223959153</v>
      </c>
      <c r="D58" s="4">
        <v>819869.46400000004</v>
      </c>
      <c r="E58" s="5">
        <v>44622</v>
      </c>
      <c r="F58" s="4">
        <v>20220302</v>
      </c>
      <c r="G58" s="5"/>
      <c r="H58" s="4">
        <v>776294.22227999999</v>
      </c>
      <c r="I58" s="4">
        <v>846750.50818000012</v>
      </c>
      <c r="J58" s="4">
        <v>788251.95345999999</v>
      </c>
      <c r="K58" s="4">
        <v>809189.28162000002</v>
      </c>
      <c r="L58" s="4">
        <v>824525.50777999999</v>
      </c>
      <c r="M58" s="4">
        <v>817747.90235999809</v>
      </c>
      <c r="N58" s="4">
        <v>1045520.568259998</v>
      </c>
      <c r="O58" s="4">
        <v>794812.11769999797</v>
      </c>
      <c r="P58" s="4">
        <v>874527.11067999993</v>
      </c>
      <c r="Q58" s="4">
        <v>982959.04592329881</v>
      </c>
      <c r="R58" s="4">
        <v>0</v>
      </c>
      <c r="S58" s="4">
        <v>0</v>
      </c>
      <c r="T58">
        <f t="shared" si="0"/>
        <v>0</v>
      </c>
      <c r="U58">
        <f t="shared" si="1"/>
        <v>0</v>
      </c>
      <c r="V58">
        <v>1119334.7036000001</v>
      </c>
      <c r="W58">
        <v>3</v>
      </c>
      <c r="X58">
        <v>910642.03324733966</v>
      </c>
      <c r="Y58">
        <v>3</v>
      </c>
      <c r="Z58">
        <f t="shared" si="2"/>
        <v>1.4118102097510506E-3</v>
      </c>
    </row>
    <row r="59" spans="1:26" x14ac:dyDescent="0.3">
      <c r="A59">
        <v>20220303</v>
      </c>
      <c r="B59" s="5">
        <v>44623</v>
      </c>
      <c r="C59">
        <v>815168.65952420293</v>
      </c>
      <c r="D59" s="4">
        <v>812148.57490000001</v>
      </c>
      <c r="E59" s="5">
        <v>44623</v>
      </c>
      <c r="F59" s="4">
        <v>20220303</v>
      </c>
      <c r="G59" s="5"/>
      <c r="H59" s="4">
        <v>775968.05975999997</v>
      </c>
      <c r="I59" s="4">
        <v>845205.95708000008</v>
      </c>
      <c r="J59" s="4">
        <v>786057.64014000003</v>
      </c>
      <c r="K59" s="4">
        <v>804844.89786000003</v>
      </c>
      <c r="L59" s="4">
        <v>816958.98956000002</v>
      </c>
      <c r="M59" s="4">
        <v>814180.60643999802</v>
      </c>
      <c r="N59" s="4">
        <v>1037206.4092199979</v>
      </c>
      <c r="O59" s="4">
        <v>795922.24027999793</v>
      </c>
      <c r="P59" s="4">
        <v>856508.97653999797</v>
      </c>
      <c r="Q59" s="4">
        <v>982959.04592329881</v>
      </c>
      <c r="R59" s="4">
        <v>0</v>
      </c>
      <c r="S59" s="4">
        <v>0</v>
      </c>
      <c r="T59">
        <f t="shared" si="0"/>
        <v>0</v>
      </c>
      <c r="U59">
        <f t="shared" si="1"/>
        <v>0</v>
      </c>
      <c r="V59">
        <v>1102111.1152000001</v>
      </c>
      <c r="W59">
        <v>1</v>
      </c>
      <c r="X59">
        <v>896629.72312341444</v>
      </c>
      <c r="Y59">
        <v>1</v>
      </c>
      <c r="Z59">
        <f t="shared" si="2"/>
        <v>-1.5387286784860421E-2</v>
      </c>
    </row>
    <row r="60" spans="1:26" x14ac:dyDescent="0.3">
      <c r="A60">
        <v>20220304</v>
      </c>
      <c r="B60" s="5">
        <v>44624</v>
      </c>
      <c r="C60">
        <v>780081.35491230269</v>
      </c>
      <c r="D60" s="4">
        <v>784805.9608</v>
      </c>
      <c r="E60" s="5">
        <v>44624</v>
      </c>
      <c r="F60" s="4">
        <v>20220304</v>
      </c>
      <c r="G60" s="5"/>
      <c r="H60" s="4">
        <v>753935.13754000003</v>
      </c>
      <c r="I60" s="4">
        <v>827448.81475999998</v>
      </c>
      <c r="J60" s="4">
        <v>755538.45964000002</v>
      </c>
      <c r="K60" s="4">
        <v>786425.25393999997</v>
      </c>
      <c r="L60" s="4">
        <v>792172.35219999996</v>
      </c>
      <c r="M60" s="4">
        <v>791672.25287999795</v>
      </c>
      <c r="N60" s="4">
        <v>1004869.653439998</v>
      </c>
      <c r="O60" s="4">
        <v>776566.94367999793</v>
      </c>
      <c r="P60" s="4">
        <v>830451.91591999796</v>
      </c>
      <c r="Q60" s="4">
        <v>935381.37526730471</v>
      </c>
      <c r="R60" s="4">
        <v>2</v>
      </c>
      <c r="S60" s="4">
        <v>0</v>
      </c>
      <c r="T60">
        <f t="shared" si="0"/>
        <v>-47577.670655994094</v>
      </c>
      <c r="U60">
        <f t="shared" si="1"/>
        <v>47579.670655994094</v>
      </c>
      <c r="V60">
        <v>1102111.1152000001</v>
      </c>
      <c r="W60">
        <v>0</v>
      </c>
      <c r="X60">
        <v>915662.7579486802</v>
      </c>
      <c r="Y60">
        <v>1</v>
      </c>
      <c r="Z60">
        <f t="shared" si="2"/>
        <v>2.12273074764509E-2</v>
      </c>
    </row>
    <row r="61" spans="1:26" x14ac:dyDescent="0.3">
      <c r="A61">
        <v>20220307</v>
      </c>
      <c r="B61" s="5">
        <v>44627</v>
      </c>
      <c r="C61">
        <v>766015.70800187881</v>
      </c>
      <c r="D61" s="4">
        <v>759817.03570000001</v>
      </c>
      <c r="E61" s="5">
        <v>44627</v>
      </c>
      <c r="F61" s="4">
        <v>20220307</v>
      </c>
      <c r="G61" s="5"/>
      <c r="H61" s="4">
        <v>734644.31519999995</v>
      </c>
      <c r="I61" s="4">
        <v>826966.19683999999</v>
      </c>
      <c r="J61" s="4">
        <v>735238.63274000003</v>
      </c>
      <c r="K61" s="4">
        <v>750098.30871999997</v>
      </c>
      <c r="L61" s="4">
        <v>762228.29709999997</v>
      </c>
      <c r="M61" s="4">
        <v>757952.76113999996</v>
      </c>
      <c r="N61" s="4">
        <v>977028.22255999804</v>
      </c>
      <c r="O61" s="4">
        <v>738955.76041999809</v>
      </c>
      <c r="P61" s="4">
        <v>790970.21129999799</v>
      </c>
      <c r="Q61" s="4">
        <v>890817.52711679146</v>
      </c>
      <c r="R61" s="4">
        <v>2</v>
      </c>
      <c r="S61" s="4">
        <v>0</v>
      </c>
      <c r="T61">
        <f t="shared" si="0"/>
        <v>-44563.848150513251</v>
      </c>
      <c r="U61">
        <f t="shared" si="1"/>
        <v>44565.848150513251</v>
      </c>
      <c r="V61">
        <v>1049604.1055999999</v>
      </c>
      <c r="W61">
        <v>2</v>
      </c>
      <c r="X61">
        <v>852193.22348211065</v>
      </c>
      <c r="Y61">
        <v>1</v>
      </c>
      <c r="Z61">
        <f t="shared" si="2"/>
        <v>-6.9315404515039578E-2</v>
      </c>
    </row>
    <row r="62" spans="1:26" x14ac:dyDescent="0.3">
      <c r="A62">
        <v>20220308</v>
      </c>
      <c r="B62" s="5">
        <v>44628</v>
      </c>
      <c r="C62">
        <v>761179.08482155506</v>
      </c>
      <c r="D62" s="4">
        <v>762031.826</v>
      </c>
      <c r="E62" s="5">
        <v>44628</v>
      </c>
      <c r="F62" s="4">
        <v>20220308</v>
      </c>
      <c r="G62" s="5"/>
      <c r="H62" s="4">
        <v>751561.60700000008</v>
      </c>
      <c r="I62" s="4">
        <v>815459.38814000005</v>
      </c>
      <c r="J62" s="4">
        <v>739358.31146</v>
      </c>
      <c r="K62" s="4">
        <v>774178.05104000005</v>
      </c>
      <c r="L62" s="4">
        <v>770871.33777999994</v>
      </c>
      <c r="M62" s="4">
        <v>763570.76393999998</v>
      </c>
      <c r="N62" s="4">
        <v>996964.11176</v>
      </c>
      <c r="O62" s="4">
        <v>750861.70811999799</v>
      </c>
      <c r="P62" s="4">
        <v>824438.21489999793</v>
      </c>
      <c r="Q62" s="4">
        <v>929626.66451247188</v>
      </c>
      <c r="R62" s="4">
        <v>2</v>
      </c>
      <c r="S62" s="4">
        <v>0</v>
      </c>
      <c r="T62">
        <f t="shared" si="0"/>
        <v>38809.137395680416</v>
      </c>
      <c r="U62">
        <f t="shared" si="1"/>
        <v>-38807.137395680416</v>
      </c>
      <c r="V62">
        <v>1095331.6594</v>
      </c>
      <c r="W62">
        <v>3</v>
      </c>
      <c r="X62">
        <v>869371.77484679234</v>
      </c>
      <c r="Y62">
        <v>1</v>
      </c>
      <c r="Z62">
        <f t="shared" si="2"/>
        <v>2.01580473668743E-2</v>
      </c>
    </row>
    <row r="63" spans="1:26" x14ac:dyDescent="0.3">
      <c r="A63">
        <v>20220309</v>
      </c>
      <c r="B63" s="5">
        <v>44629</v>
      </c>
      <c r="C63">
        <v>781473.64158106735</v>
      </c>
      <c r="D63" s="4">
        <v>779493.96569999994</v>
      </c>
      <c r="E63" s="5">
        <v>44629</v>
      </c>
      <c r="F63" s="4">
        <v>20220309</v>
      </c>
      <c r="G63" s="5"/>
      <c r="H63" s="4">
        <v>785975.35592</v>
      </c>
      <c r="I63" s="4">
        <v>835531.93682000006</v>
      </c>
      <c r="J63" s="4">
        <v>761038.50364000001</v>
      </c>
      <c r="K63" s="4">
        <v>797937.94362000003</v>
      </c>
      <c r="L63" s="4">
        <v>788766.80857999995</v>
      </c>
      <c r="M63" s="4">
        <v>780790.93293999997</v>
      </c>
      <c r="N63" s="4">
        <v>1031617.98972</v>
      </c>
      <c r="O63" s="4">
        <v>781715.12707999791</v>
      </c>
      <c r="P63" s="4">
        <v>822435.977919998</v>
      </c>
      <c r="Q63" s="4">
        <v>969410.07014880225</v>
      </c>
      <c r="R63" s="4">
        <v>2</v>
      </c>
      <c r="S63" s="4">
        <v>0</v>
      </c>
      <c r="T63">
        <f t="shared" si="0"/>
        <v>39783.405636330368</v>
      </c>
      <c r="U63">
        <f t="shared" si="1"/>
        <v>-39781.405636330368</v>
      </c>
      <c r="V63">
        <v>1150272.6621999999</v>
      </c>
      <c r="W63">
        <v>1</v>
      </c>
      <c r="X63">
        <v>912978.76749902009</v>
      </c>
      <c r="Y63">
        <v>1</v>
      </c>
      <c r="Z63">
        <f t="shared" si="2"/>
        <v>5.0159199911812787E-2</v>
      </c>
    </row>
    <row r="64" spans="1:26" x14ac:dyDescent="0.3">
      <c r="A64">
        <v>20220310</v>
      </c>
      <c r="B64" s="5">
        <v>44630</v>
      </c>
      <c r="C64">
        <v>790437.14425000222</v>
      </c>
      <c r="D64" s="4">
        <v>783128.71409999998</v>
      </c>
      <c r="E64" s="5">
        <v>44630</v>
      </c>
      <c r="F64" s="4">
        <v>20220310</v>
      </c>
      <c r="G64" s="5"/>
      <c r="H64" s="4">
        <v>796881.34857999999</v>
      </c>
      <c r="I64" s="4">
        <v>831568.05738000001</v>
      </c>
      <c r="J64" s="4">
        <v>778965.00762000005</v>
      </c>
      <c r="K64" s="4">
        <v>794924.46524000005</v>
      </c>
      <c r="L64" s="4">
        <v>791252.30426</v>
      </c>
      <c r="M64" s="4">
        <v>785044.06388000003</v>
      </c>
      <c r="N64" s="4">
        <v>1033052.89086</v>
      </c>
      <c r="O64" s="4">
        <v>804791.90171999799</v>
      </c>
      <c r="P64" s="4">
        <v>822864.47323999798</v>
      </c>
      <c r="Q64" s="4">
        <v>969410.07014880225</v>
      </c>
      <c r="R64" s="4">
        <v>0</v>
      </c>
      <c r="S64" s="4">
        <v>0</v>
      </c>
      <c r="T64">
        <f t="shared" si="0"/>
        <v>0</v>
      </c>
      <c r="U64">
        <f t="shared" si="1"/>
        <v>0</v>
      </c>
      <c r="V64">
        <v>1150272.6621999999</v>
      </c>
      <c r="W64">
        <v>0</v>
      </c>
      <c r="X64">
        <v>919523.19583280361</v>
      </c>
      <c r="Y64">
        <v>1</v>
      </c>
      <c r="Z64">
        <f t="shared" si="2"/>
        <v>7.1682152605926251E-3</v>
      </c>
    </row>
    <row r="65" spans="1:26" x14ac:dyDescent="0.3">
      <c r="A65">
        <v>20220311</v>
      </c>
      <c r="B65" s="5">
        <v>44631</v>
      </c>
      <c r="C65">
        <v>762247.78437461436</v>
      </c>
      <c r="D65" s="4">
        <v>773968.88479999895</v>
      </c>
      <c r="E65" s="5">
        <v>44631</v>
      </c>
      <c r="F65" s="4">
        <v>20220311</v>
      </c>
      <c r="G65" s="5"/>
      <c r="H65" s="4">
        <v>772529.62385999993</v>
      </c>
      <c r="I65" s="4">
        <v>788163.92532000004</v>
      </c>
      <c r="J65" s="4">
        <v>760970.50482000003</v>
      </c>
      <c r="K65" s="4">
        <v>762219.38803999999</v>
      </c>
      <c r="L65" s="4">
        <v>768248.47246000008</v>
      </c>
      <c r="M65" s="4">
        <v>761424.26787999994</v>
      </c>
      <c r="N65" s="4">
        <v>997566.88954000012</v>
      </c>
      <c r="O65" s="4">
        <v>774837.96637999802</v>
      </c>
      <c r="P65" s="4">
        <v>782185.33149999799</v>
      </c>
      <c r="Q65" s="4">
        <v>969410.07014880225</v>
      </c>
      <c r="R65" s="4">
        <v>0</v>
      </c>
      <c r="S65" s="4">
        <v>0</v>
      </c>
      <c r="T65">
        <f t="shared" si="0"/>
        <v>0</v>
      </c>
      <c r="U65">
        <f t="shared" si="1"/>
        <v>0</v>
      </c>
      <c r="V65">
        <v>1150272.6621999999</v>
      </c>
      <c r="W65">
        <v>0</v>
      </c>
      <c r="X65">
        <v>849306.7352250074</v>
      </c>
      <c r="Y65">
        <v>1</v>
      </c>
      <c r="Z65">
        <f t="shared" si="2"/>
        <v>-7.6361815477859488E-2</v>
      </c>
    </row>
    <row r="66" spans="1:26" x14ac:dyDescent="0.3">
      <c r="A66">
        <v>20220314</v>
      </c>
      <c r="B66" s="5">
        <v>44634</v>
      </c>
      <c r="C66">
        <v>742763.20651043043</v>
      </c>
      <c r="D66" s="4">
        <v>754400.77809999895</v>
      </c>
      <c r="E66" s="5">
        <v>44634</v>
      </c>
      <c r="F66" s="4">
        <v>20220314</v>
      </c>
      <c r="G66" s="5"/>
      <c r="H66" s="4">
        <v>743795.57493999996</v>
      </c>
      <c r="I66" s="4">
        <v>761376.36339999991</v>
      </c>
      <c r="J66" s="4">
        <v>746188.93492000003</v>
      </c>
      <c r="K66" s="4">
        <v>722392.38390000002</v>
      </c>
      <c r="L66" s="4">
        <v>746644.95882000006</v>
      </c>
      <c r="M66" s="4">
        <v>732793.66142000002</v>
      </c>
      <c r="N66" s="4">
        <v>969359.41420000012</v>
      </c>
      <c r="O66" s="4">
        <v>753946.25013999804</v>
      </c>
      <c r="P66" s="4">
        <v>778697.76123999804</v>
      </c>
      <c r="Q66" s="4">
        <v>975768.15224347671</v>
      </c>
      <c r="R66" s="4">
        <v>3</v>
      </c>
      <c r="S66" s="4">
        <v>0</v>
      </c>
      <c r="T66">
        <f t="shared" si="0"/>
        <v>6358.0820946744643</v>
      </c>
      <c r="U66">
        <f t="shared" si="1"/>
        <v>-6355.0820946744643</v>
      </c>
      <c r="V66">
        <v>1138704.0688</v>
      </c>
      <c r="W66">
        <v>1</v>
      </c>
      <c r="X66">
        <v>840765.03597813135</v>
      </c>
      <c r="Y66">
        <v>1</v>
      </c>
      <c r="Z66">
        <f t="shared" si="2"/>
        <v>-1.0057260695822811E-2</v>
      </c>
    </row>
    <row r="67" spans="1:26" x14ac:dyDescent="0.3">
      <c r="A67">
        <v>20220315</v>
      </c>
      <c r="B67" s="5">
        <v>44635</v>
      </c>
      <c r="C67">
        <v>781389.86430179887</v>
      </c>
      <c r="D67" s="4">
        <v>773128.66879999801</v>
      </c>
      <c r="E67" s="5">
        <v>44635</v>
      </c>
      <c r="F67" s="4">
        <v>20220315</v>
      </c>
      <c r="G67" s="5"/>
      <c r="H67" s="4">
        <v>762013.98294000002</v>
      </c>
      <c r="I67" s="4">
        <v>778068.59378</v>
      </c>
      <c r="J67" s="4">
        <v>776184.26662000001</v>
      </c>
      <c r="K67" s="4">
        <v>736073.67460000003</v>
      </c>
      <c r="L67" s="4">
        <v>775162.32973999996</v>
      </c>
      <c r="M67" s="4">
        <v>761759.82579999999</v>
      </c>
      <c r="N67" s="4">
        <v>1004083.57892</v>
      </c>
      <c r="O67" s="4">
        <v>787682.63105999795</v>
      </c>
      <c r="P67" s="4">
        <v>808159.20715999801</v>
      </c>
      <c r="Q67" s="4">
        <v>1010015.9752389669</v>
      </c>
      <c r="R67" s="4">
        <v>1</v>
      </c>
      <c r="S67" s="4">
        <v>0</v>
      </c>
      <c r="T67">
        <f t="shared" si="0"/>
        <v>34247.822995490162</v>
      </c>
      <c r="U67">
        <f t="shared" si="1"/>
        <v>-34246.822995490162</v>
      </c>
      <c r="V67">
        <v>1211727.7289999998</v>
      </c>
      <c r="W67">
        <v>1</v>
      </c>
      <c r="X67">
        <v>894682.15392779035</v>
      </c>
      <c r="Y67">
        <v>1</v>
      </c>
      <c r="Z67">
        <f t="shared" si="2"/>
        <v>6.412863956329104E-2</v>
      </c>
    </row>
    <row r="68" spans="1:26" x14ac:dyDescent="0.3">
      <c r="A68">
        <v>20220316</v>
      </c>
      <c r="B68" s="5">
        <v>44636</v>
      </c>
      <c r="C68">
        <v>803807.93950861751</v>
      </c>
      <c r="D68" s="4">
        <v>779577.50579999899</v>
      </c>
      <c r="E68" s="5">
        <v>44636</v>
      </c>
      <c r="F68" s="4">
        <v>20220316</v>
      </c>
      <c r="G68" s="5"/>
      <c r="H68" s="4">
        <v>777047.60829999996</v>
      </c>
      <c r="I68" s="4">
        <v>766976.52671999997</v>
      </c>
      <c r="J68" s="4">
        <v>777403.84264000005</v>
      </c>
      <c r="K68" s="4">
        <v>724428.28197999997</v>
      </c>
      <c r="L68" s="4">
        <v>783478.67888000002</v>
      </c>
      <c r="M68" s="4">
        <v>768331.12457999995</v>
      </c>
      <c r="N68" s="4">
        <v>1016359.49266</v>
      </c>
      <c r="O68" s="4">
        <v>802149.73195999791</v>
      </c>
      <c r="P68" s="4">
        <v>818771.48553999804</v>
      </c>
      <c r="Q68" s="4">
        <v>1005653.3714231872</v>
      </c>
      <c r="R68" s="4">
        <v>3</v>
      </c>
      <c r="S68" s="4">
        <v>0</v>
      </c>
      <c r="T68">
        <f t="shared" ref="T68:T131" si="3">Q68-Q67</f>
        <v>-4362.603815779672</v>
      </c>
      <c r="U68">
        <f t="shared" ref="U68:U131" si="4">R68-T68</f>
        <v>4365.603815779672</v>
      </c>
      <c r="V68">
        <v>1215461.4912</v>
      </c>
      <c r="W68">
        <v>1</v>
      </c>
      <c r="X68">
        <v>897438.98822322115</v>
      </c>
      <c r="Y68">
        <v>1</v>
      </c>
      <c r="Z68">
        <f t="shared" ref="Z68:Z131" si="5">(X68-X67)/X67</f>
        <v>3.0813560808471275E-3</v>
      </c>
    </row>
    <row r="69" spans="1:26" x14ac:dyDescent="0.3">
      <c r="A69">
        <v>20220317</v>
      </c>
      <c r="B69" s="5">
        <v>44637</v>
      </c>
      <c r="C69">
        <v>804704.98916910915</v>
      </c>
      <c r="D69" s="4">
        <v>790243.43929999799</v>
      </c>
      <c r="E69" s="5">
        <v>44637</v>
      </c>
      <c r="F69" s="4">
        <v>20220317</v>
      </c>
      <c r="G69" s="5"/>
      <c r="H69" s="4">
        <v>798743.67797999992</v>
      </c>
      <c r="I69" s="4">
        <v>793455.34607999993</v>
      </c>
      <c r="J69" s="4">
        <v>770828.97441999998</v>
      </c>
      <c r="K69" s="4">
        <v>736482.38559999992</v>
      </c>
      <c r="L69" s="4">
        <v>795486.20264000003</v>
      </c>
      <c r="M69" s="4">
        <v>774940.57114000001</v>
      </c>
      <c r="N69" s="4">
        <v>1044466.96962</v>
      </c>
      <c r="O69" s="4">
        <v>820142.815279998</v>
      </c>
      <c r="P69" s="4">
        <v>853265.7221999981</v>
      </c>
      <c r="Q69" s="4">
        <v>1048256.0173157569</v>
      </c>
      <c r="R69" s="4">
        <v>2</v>
      </c>
      <c r="S69" s="4">
        <v>0</v>
      </c>
      <c r="T69">
        <f t="shared" si="3"/>
        <v>42602.645892569679</v>
      </c>
      <c r="U69">
        <f t="shared" si="4"/>
        <v>-42600.645892569679</v>
      </c>
      <c r="V69">
        <v>1266951.1504000002</v>
      </c>
      <c r="W69">
        <v>2</v>
      </c>
      <c r="X69">
        <v>998436.90827532439</v>
      </c>
      <c r="Y69">
        <v>1</v>
      </c>
      <c r="Z69">
        <f t="shared" si="5"/>
        <v>0.1125401518960773</v>
      </c>
    </row>
    <row r="70" spans="1:26" x14ac:dyDescent="0.3">
      <c r="A70">
        <v>20220318</v>
      </c>
      <c r="B70" s="5">
        <v>44638</v>
      </c>
      <c r="C70">
        <v>808364.78745985031</v>
      </c>
      <c r="D70" s="4">
        <v>795411.93019999797</v>
      </c>
      <c r="E70" s="5">
        <v>44638</v>
      </c>
      <c r="F70" s="4">
        <v>20220318</v>
      </c>
      <c r="G70" s="5"/>
      <c r="H70" s="4">
        <v>826379.45193999994</v>
      </c>
      <c r="I70" s="4">
        <v>814451.76273999992</v>
      </c>
      <c r="J70" s="4">
        <v>799006.56163999997</v>
      </c>
      <c r="K70" s="4">
        <v>755544.83973999997</v>
      </c>
      <c r="L70" s="4">
        <v>799775.83476</v>
      </c>
      <c r="M70" s="4">
        <v>783204.9473</v>
      </c>
      <c r="N70" s="4">
        <v>1054208.0940599979</v>
      </c>
      <c r="O70" s="4">
        <v>843293.02037999802</v>
      </c>
      <c r="P70" s="4">
        <v>850347.33355999796</v>
      </c>
      <c r="Q70" s="4">
        <v>1044686.7365174914</v>
      </c>
      <c r="R70" s="4">
        <v>2</v>
      </c>
      <c r="S70" s="4">
        <v>0</v>
      </c>
      <c r="T70">
        <f t="shared" si="3"/>
        <v>-3569.2807982654776</v>
      </c>
      <c r="U70">
        <f t="shared" si="4"/>
        <v>3571.2807982654776</v>
      </c>
      <c r="V70">
        <v>1266951.1504000002</v>
      </c>
      <c r="W70">
        <v>0</v>
      </c>
      <c r="X70">
        <v>1028711.4231535045</v>
      </c>
      <c r="Y70">
        <v>1</v>
      </c>
      <c r="Z70">
        <f t="shared" si="5"/>
        <v>3.032191080603738E-2</v>
      </c>
    </row>
    <row r="71" spans="1:26" x14ac:dyDescent="0.3">
      <c r="A71">
        <v>20220321</v>
      </c>
      <c r="B71" s="5">
        <v>44641</v>
      </c>
      <c r="C71">
        <v>797100.22414659732</v>
      </c>
      <c r="D71" s="4">
        <v>784539.09869999799</v>
      </c>
      <c r="E71" s="5">
        <v>44641</v>
      </c>
      <c r="F71" s="4">
        <v>20220321</v>
      </c>
      <c r="G71" s="5"/>
      <c r="H71" s="4">
        <v>808151.01827999996</v>
      </c>
      <c r="I71" s="4">
        <v>775627.76225999999</v>
      </c>
      <c r="J71" s="4">
        <v>793251.90998</v>
      </c>
      <c r="K71" s="4">
        <v>749341.01579999994</v>
      </c>
      <c r="L71" s="4">
        <v>787225.98311999999</v>
      </c>
      <c r="M71" s="4">
        <v>766376.64659999998</v>
      </c>
      <c r="N71" s="4">
        <v>1038667.1768599979</v>
      </c>
      <c r="O71" s="4">
        <v>821905.61041999806</v>
      </c>
      <c r="P71" s="4">
        <v>813546.542239998</v>
      </c>
      <c r="Q71" s="4">
        <v>1044686.7365174914</v>
      </c>
      <c r="R71" s="4">
        <v>0</v>
      </c>
      <c r="S71" s="4">
        <v>0</v>
      </c>
      <c r="T71">
        <f t="shared" si="3"/>
        <v>0</v>
      </c>
      <c r="U71">
        <f t="shared" si="4"/>
        <v>0</v>
      </c>
      <c r="V71">
        <v>1262567.8038000001</v>
      </c>
      <c r="W71">
        <v>1</v>
      </c>
      <c r="X71">
        <v>1025152.3164548075</v>
      </c>
      <c r="Y71">
        <v>1</v>
      </c>
      <c r="Z71">
        <f t="shared" si="5"/>
        <v>-3.4597717285830866E-3</v>
      </c>
    </row>
    <row r="72" spans="1:26" x14ac:dyDescent="0.3">
      <c r="A72">
        <v>20220322</v>
      </c>
      <c r="B72" s="5">
        <v>44642</v>
      </c>
      <c r="C72">
        <v>805307.16805441061</v>
      </c>
      <c r="D72" s="4">
        <v>787137.05459999805</v>
      </c>
      <c r="E72" s="5">
        <v>44642</v>
      </c>
      <c r="F72" s="4">
        <v>20220322</v>
      </c>
      <c r="G72" s="5"/>
      <c r="H72" s="4">
        <v>834079.83556000004</v>
      </c>
      <c r="I72" s="4">
        <v>756756.25360000005</v>
      </c>
      <c r="J72" s="4">
        <v>825675.66896000004</v>
      </c>
      <c r="K72" s="4">
        <v>774729.64012</v>
      </c>
      <c r="L72" s="4">
        <v>793119.66035999998</v>
      </c>
      <c r="M72" s="4">
        <v>774017.45659999992</v>
      </c>
      <c r="N72" s="4">
        <v>1045594.002919998</v>
      </c>
      <c r="O72" s="4">
        <v>853852.17639999802</v>
      </c>
      <c r="P72" s="4">
        <v>820391.12005999801</v>
      </c>
      <c r="Q72" s="4">
        <v>1084336.6176140697</v>
      </c>
      <c r="R72" s="4">
        <v>2</v>
      </c>
      <c r="S72" s="4">
        <v>0</v>
      </c>
      <c r="T72">
        <f t="shared" si="3"/>
        <v>39649.88109657832</v>
      </c>
      <c r="U72">
        <f t="shared" si="4"/>
        <v>-39647.88109657832</v>
      </c>
      <c r="V72">
        <v>1300676.0963999999</v>
      </c>
      <c r="W72">
        <v>1</v>
      </c>
      <c r="X72">
        <v>1056094.7301895607</v>
      </c>
      <c r="Y72">
        <v>1</v>
      </c>
      <c r="Z72">
        <f t="shared" si="5"/>
        <v>3.0183235445205382E-2</v>
      </c>
    </row>
    <row r="73" spans="1:26" x14ac:dyDescent="0.3">
      <c r="A73">
        <v>20220323</v>
      </c>
      <c r="B73" s="5">
        <v>44643</v>
      </c>
      <c r="C73">
        <v>802406.45163507864</v>
      </c>
      <c r="D73" s="4">
        <v>793952.52989999799</v>
      </c>
      <c r="E73" s="5">
        <v>44643</v>
      </c>
      <c r="F73" s="4">
        <v>20220323</v>
      </c>
      <c r="G73" s="5"/>
      <c r="H73" s="4">
        <v>836033.59868000005</v>
      </c>
      <c r="I73" s="4">
        <v>774492.26368000009</v>
      </c>
      <c r="J73" s="4">
        <v>818173.90883999993</v>
      </c>
      <c r="K73" s="4">
        <v>783596.57205999992</v>
      </c>
      <c r="L73" s="4">
        <v>804471.57104000007</v>
      </c>
      <c r="M73" s="4">
        <v>778295.34479999996</v>
      </c>
      <c r="N73" s="4">
        <v>1060442.5323199979</v>
      </c>
      <c r="O73" s="4">
        <v>858458.224739998</v>
      </c>
      <c r="P73" s="4">
        <v>847646.62105999794</v>
      </c>
      <c r="Q73" s="4">
        <v>1120571.7590541099</v>
      </c>
      <c r="R73" s="4">
        <v>2</v>
      </c>
      <c r="S73" s="4">
        <v>0</v>
      </c>
      <c r="T73">
        <f t="shared" si="3"/>
        <v>36235.141440040199</v>
      </c>
      <c r="U73">
        <f t="shared" si="4"/>
        <v>-36233.141440040199</v>
      </c>
      <c r="V73">
        <v>1338649.4308</v>
      </c>
      <c r="W73">
        <v>1</v>
      </c>
      <c r="X73">
        <v>1086927.4897831683</v>
      </c>
      <c r="Y73">
        <v>1</v>
      </c>
      <c r="Z73">
        <f t="shared" si="5"/>
        <v>2.9195070018078195E-2</v>
      </c>
    </row>
    <row r="74" spans="1:26" x14ac:dyDescent="0.3">
      <c r="A74">
        <v>20220324</v>
      </c>
      <c r="B74" s="5">
        <v>44644</v>
      </c>
      <c r="C74">
        <v>782151.30557645438</v>
      </c>
      <c r="D74" s="4">
        <v>790985.62249999796</v>
      </c>
      <c r="E74" s="5">
        <v>44644</v>
      </c>
      <c r="F74" s="4">
        <v>20220324</v>
      </c>
      <c r="G74" s="5"/>
      <c r="H74" s="4">
        <v>859832.28573999996</v>
      </c>
      <c r="I74" s="4">
        <v>768998.03948000004</v>
      </c>
      <c r="J74" s="4">
        <v>800596.18469999998</v>
      </c>
      <c r="K74" s="4">
        <v>783992.32354000001</v>
      </c>
      <c r="L74" s="4">
        <v>800750.11066000001</v>
      </c>
      <c r="M74" s="4">
        <v>767300.99745999998</v>
      </c>
      <c r="N74" s="4">
        <v>1044631.060939998</v>
      </c>
      <c r="O74" s="4">
        <v>840978.77385999798</v>
      </c>
      <c r="P74" s="4">
        <v>835125.14483999799</v>
      </c>
      <c r="Q74" s="4">
        <v>1099521.3002079315</v>
      </c>
      <c r="R74" s="4">
        <v>3</v>
      </c>
      <c r="S74" s="4">
        <v>0</v>
      </c>
      <c r="T74">
        <f t="shared" si="3"/>
        <v>-21050.458846178371</v>
      </c>
      <c r="U74">
        <f t="shared" si="4"/>
        <v>21053.458846178371</v>
      </c>
      <c r="V74">
        <v>1318815.1971999998</v>
      </c>
      <c r="W74">
        <v>3</v>
      </c>
      <c r="X74">
        <v>1094159.5989600853</v>
      </c>
      <c r="Y74">
        <v>1</v>
      </c>
      <c r="Z74">
        <f t="shared" si="5"/>
        <v>6.6537181595800274E-3</v>
      </c>
    </row>
    <row r="75" spans="1:26" x14ac:dyDescent="0.3">
      <c r="A75">
        <v>20220325</v>
      </c>
      <c r="B75" s="5">
        <v>44645</v>
      </c>
      <c r="C75">
        <v>769147.25796994031</v>
      </c>
      <c r="D75" s="4">
        <v>789766.99839999899</v>
      </c>
      <c r="E75" s="5">
        <v>44645</v>
      </c>
      <c r="F75" s="4">
        <v>20220325</v>
      </c>
      <c r="G75" s="5"/>
      <c r="H75" s="4">
        <v>851603.73485999997</v>
      </c>
      <c r="I75" s="4">
        <v>772043.23153999995</v>
      </c>
      <c r="J75" s="4">
        <v>799778.03962000005</v>
      </c>
      <c r="K75" s="4">
        <v>770406.07233999996</v>
      </c>
      <c r="L75" s="4">
        <v>793915.56654000003</v>
      </c>
      <c r="M75" s="4">
        <v>761709.12889999803</v>
      </c>
      <c r="N75" s="4">
        <v>1035020.322439998</v>
      </c>
      <c r="O75" s="4">
        <v>842092.68629999796</v>
      </c>
      <c r="P75" s="4">
        <v>835893.91784000001</v>
      </c>
      <c r="Q75" s="4">
        <v>1109714.8996782335</v>
      </c>
      <c r="R75" s="4">
        <v>3</v>
      </c>
      <c r="S75" s="4">
        <v>0</v>
      </c>
      <c r="T75">
        <f t="shared" si="3"/>
        <v>10193.599470301997</v>
      </c>
      <c r="U75">
        <f t="shared" si="4"/>
        <v>-10190.599470301997</v>
      </c>
      <c r="V75">
        <v>1318815.1971999998</v>
      </c>
      <c r="W75">
        <v>0</v>
      </c>
      <c r="X75">
        <v>1158985.0445942357</v>
      </c>
      <c r="Y75">
        <v>1</v>
      </c>
      <c r="Z75">
        <f t="shared" si="5"/>
        <v>5.9246791506250111E-2</v>
      </c>
    </row>
    <row r="76" spans="1:26" x14ac:dyDescent="0.3">
      <c r="A76">
        <v>20220328</v>
      </c>
      <c r="B76" s="5">
        <v>44648</v>
      </c>
      <c r="C76">
        <v>768701.15256031777</v>
      </c>
      <c r="D76" s="4">
        <v>782092.287799999</v>
      </c>
      <c r="E76" s="5">
        <v>44648</v>
      </c>
      <c r="F76" s="4">
        <v>20220328</v>
      </c>
      <c r="G76" s="5"/>
      <c r="H76" s="4">
        <v>845768.46791999997</v>
      </c>
      <c r="I76" s="4">
        <v>772033.56226000004</v>
      </c>
      <c r="J76" s="4">
        <v>770429.04466000001</v>
      </c>
      <c r="K76" s="4">
        <v>761401.41853999998</v>
      </c>
      <c r="L76" s="4">
        <v>786262.87942000001</v>
      </c>
      <c r="M76" s="4">
        <v>749981.37515999796</v>
      </c>
      <c r="N76" s="4">
        <v>1018237.99592</v>
      </c>
      <c r="O76" s="4">
        <v>834949.51107999799</v>
      </c>
      <c r="P76" s="4">
        <v>844210.33675999998</v>
      </c>
      <c r="Q76" s="4">
        <v>1108507.7022110969</v>
      </c>
      <c r="R76" s="4">
        <v>2</v>
      </c>
      <c r="S76" s="4">
        <v>0</v>
      </c>
      <c r="T76">
        <f t="shared" si="3"/>
        <v>-1207.1974671366625</v>
      </c>
      <c r="U76">
        <f t="shared" si="4"/>
        <v>1209.1974671366625</v>
      </c>
      <c r="V76">
        <v>1336441.9786</v>
      </c>
      <c r="W76">
        <v>1</v>
      </c>
      <c r="X76">
        <v>1174475.658537464</v>
      </c>
      <c r="Y76">
        <v>1</v>
      </c>
      <c r="Z76">
        <f t="shared" si="5"/>
        <v>1.3365671986433248E-2</v>
      </c>
    </row>
    <row r="77" spans="1:26" x14ac:dyDescent="0.3">
      <c r="A77">
        <v>20220329</v>
      </c>
      <c r="B77" s="5">
        <v>44649</v>
      </c>
      <c r="C77">
        <v>799571.42214598763</v>
      </c>
      <c r="D77" s="4">
        <v>795106.51699999801</v>
      </c>
      <c r="E77" s="5">
        <v>44649</v>
      </c>
      <c r="F77" s="4">
        <v>20220329</v>
      </c>
      <c r="G77" s="5"/>
      <c r="H77" s="4">
        <v>858209.11730000004</v>
      </c>
      <c r="I77" s="4">
        <v>786494.60045999999</v>
      </c>
      <c r="J77" s="4">
        <v>782465.93163999997</v>
      </c>
      <c r="K77" s="4">
        <v>779569.43541999999</v>
      </c>
      <c r="L77" s="4">
        <v>808294.54480000003</v>
      </c>
      <c r="M77" s="4">
        <v>780117.79201999796</v>
      </c>
      <c r="N77" s="4">
        <v>1049967.0271000001</v>
      </c>
      <c r="O77" s="4">
        <v>855852.521339998</v>
      </c>
      <c r="P77" s="4">
        <v>864884.53759999794</v>
      </c>
      <c r="Q77" s="4">
        <v>1108507.7022110969</v>
      </c>
      <c r="R77" s="4">
        <v>0</v>
      </c>
      <c r="S77" s="4">
        <v>0</v>
      </c>
      <c r="T77">
        <f t="shared" si="3"/>
        <v>0</v>
      </c>
      <c r="U77">
        <f t="shared" si="4"/>
        <v>0</v>
      </c>
      <c r="V77">
        <v>1355498.1073999999</v>
      </c>
      <c r="W77">
        <v>4</v>
      </c>
      <c r="X77">
        <v>1175311.6554789669</v>
      </c>
      <c r="Y77">
        <v>1</v>
      </c>
      <c r="Z77">
        <f t="shared" si="5"/>
        <v>7.118044000536751E-4</v>
      </c>
    </row>
    <row r="78" spans="1:26" x14ac:dyDescent="0.3">
      <c r="A78">
        <v>20220330</v>
      </c>
      <c r="B78" s="5">
        <v>44650</v>
      </c>
      <c r="C78">
        <v>788490.16180646629</v>
      </c>
      <c r="D78" s="4">
        <v>787830.63289999799</v>
      </c>
      <c r="E78" s="5">
        <v>44650</v>
      </c>
      <c r="F78" s="4">
        <v>20220330</v>
      </c>
      <c r="G78" s="5"/>
      <c r="H78" s="4">
        <v>849884.85800000001</v>
      </c>
      <c r="I78" s="4">
        <v>777264.80443999998</v>
      </c>
      <c r="J78" s="4">
        <v>779103.63208000001</v>
      </c>
      <c r="K78" s="4">
        <v>777788.13827999996</v>
      </c>
      <c r="L78" s="4">
        <v>792527.39116</v>
      </c>
      <c r="M78" s="4">
        <v>761549.50557999802</v>
      </c>
      <c r="N78" s="4">
        <v>1028394.71494</v>
      </c>
      <c r="O78" s="4">
        <v>838093.28851999796</v>
      </c>
      <c r="P78" s="4">
        <v>869544.97353999806</v>
      </c>
      <c r="Q78" s="4">
        <v>1108507.7022110969</v>
      </c>
      <c r="R78" s="4">
        <v>0</v>
      </c>
      <c r="S78" s="4">
        <v>0</v>
      </c>
      <c r="T78">
        <f t="shared" si="3"/>
        <v>0</v>
      </c>
      <c r="U78">
        <f t="shared" si="4"/>
        <v>0</v>
      </c>
      <c r="V78">
        <v>1360224.3415999999</v>
      </c>
      <c r="W78">
        <v>2</v>
      </c>
      <c r="X78">
        <v>1197385.924213225</v>
      </c>
      <c r="Y78">
        <v>1</v>
      </c>
      <c r="Z78">
        <f t="shared" si="5"/>
        <v>1.8781630073482387E-2</v>
      </c>
    </row>
    <row r="79" spans="1:26" x14ac:dyDescent="0.3">
      <c r="A79">
        <v>20220331</v>
      </c>
      <c r="B79" s="5">
        <v>44651</v>
      </c>
      <c r="C79">
        <v>790693.99180871551</v>
      </c>
      <c r="D79" s="4">
        <v>790158.53919999802</v>
      </c>
      <c r="E79" s="5">
        <v>44651</v>
      </c>
      <c r="F79" s="4">
        <v>20220331</v>
      </c>
      <c r="G79" s="5"/>
      <c r="H79" s="4">
        <v>852419.07674000005</v>
      </c>
      <c r="I79" s="4">
        <v>782285.95026000007</v>
      </c>
      <c r="J79" s="4">
        <v>770224.23613999994</v>
      </c>
      <c r="K79" s="4">
        <v>806723.29827999999</v>
      </c>
      <c r="L79" s="4">
        <v>795656.14072000002</v>
      </c>
      <c r="M79" s="4">
        <v>766661.15065999806</v>
      </c>
      <c r="N79" s="4">
        <v>1034562.4200200001</v>
      </c>
      <c r="O79" s="4">
        <v>871148.3506599979</v>
      </c>
      <c r="P79" s="4">
        <v>911448.59643999801</v>
      </c>
      <c r="Q79" s="4">
        <v>1257278.6608078228</v>
      </c>
      <c r="R79" s="4">
        <v>1</v>
      </c>
      <c r="S79" s="4">
        <v>0</v>
      </c>
      <c r="T79">
        <f t="shared" si="3"/>
        <v>148770.95859672595</v>
      </c>
      <c r="U79">
        <f t="shared" si="4"/>
        <v>-148769.95859672595</v>
      </c>
      <c r="V79">
        <v>1360224.3415999999</v>
      </c>
      <c r="W79">
        <v>0</v>
      </c>
      <c r="X79">
        <v>1358084.7024145338</v>
      </c>
      <c r="Y79">
        <v>1</v>
      </c>
      <c r="Z79">
        <f t="shared" si="5"/>
        <v>0.13420800675179165</v>
      </c>
    </row>
    <row r="80" spans="1:26" x14ac:dyDescent="0.3">
      <c r="A80">
        <v>20220401</v>
      </c>
      <c r="B80" s="5">
        <v>44652</v>
      </c>
      <c r="C80">
        <v>780879.89798238571</v>
      </c>
      <c r="D80" s="4">
        <v>777470.14309999801</v>
      </c>
      <c r="E80" s="5">
        <v>44652</v>
      </c>
      <c r="G80" s="5" t="s">
        <v>9</v>
      </c>
      <c r="H80" s="4">
        <v>825091.93426000001</v>
      </c>
      <c r="I80" s="4">
        <v>785346.56242000009</v>
      </c>
      <c r="J80" s="4">
        <v>762845.00676000002</v>
      </c>
      <c r="K80" s="4">
        <v>790204.47448000009</v>
      </c>
      <c r="L80" s="4">
        <v>792273.47779999999</v>
      </c>
      <c r="M80" s="4">
        <v>749254.88965999801</v>
      </c>
      <c r="N80" s="4">
        <v>1011451.0623199999</v>
      </c>
      <c r="O80" s="4">
        <v>850334.35233999812</v>
      </c>
      <c r="P80" s="4">
        <v>890518.93313999998</v>
      </c>
      <c r="Q80" s="4">
        <v>1248583.8858569376</v>
      </c>
      <c r="R80" s="4">
        <v>1</v>
      </c>
      <c r="S80" s="4">
        <v>0</v>
      </c>
      <c r="T80">
        <f t="shared" si="3"/>
        <v>-8694.7749508852139</v>
      </c>
      <c r="U80">
        <f t="shared" si="4"/>
        <v>8695.7749508852139</v>
      </c>
      <c r="V80">
        <v>1360224.3415999999</v>
      </c>
      <c r="W80">
        <v>0</v>
      </c>
      <c r="X80">
        <v>1348692.7998228832</v>
      </c>
      <c r="Y80">
        <v>1</v>
      </c>
      <c r="Z80">
        <f t="shared" si="5"/>
        <v>-6.9155499468868016E-3</v>
      </c>
    </row>
    <row r="81" spans="1:26" x14ac:dyDescent="0.3">
      <c r="A81">
        <v>20220406</v>
      </c>
      <c r="B81" s="5">
        <v>44657</v>
      </c>
      <c r="C81">
        <v>764449.40404893819</v>
      </c>
      <c r="D81" s="4">
        <v>765288.97289999796</v>
      </c>
      <c r="E81" s="5">
        <v>44657</v>
      </c>
      <c r="F81" s="4">
        <v>20220406</v>
      </c>
      <c r="G81" s="5"/>
      <c r="H81" s="4">
        <v>806896.81521999999</v>
      </c>
      <c r="I81" s="4">
        <v>771806.04729999998</v>
      </c>
      <c r="J81" s="4">
        <v>735338.07779999997</v>
      </c>
      <c r="K81" s="4">
        <v>772063.13300000003</v>
      </c>
      <c r="L81" s="4">
        <v>769230.88630000001</v>
      </c>
      <c r="M81" s="4">
        <v>730989.61483999796</v>
      </c>
      <c r="N81" s="4">
        <v>991433.40969999996</v>
      </c>
      <c r="O81" s="4">
        <v>814406.36963999807</v>
      </c>
      <c r="P81" s="4">
        <v>868777.17520000006</v>
      </c>
      <c r="Q81" s="4">
        <v>1213902.4891246427</v>
      </c>
      <c r="R81" s="4">
        <v>3</v>
      </c>
      <c r="S81" s="4">
        <v>0</v>
      </c>
      <c r="T81">
        <f t="shared" si="3"/>
        <v>-34681.396732294932</v>
      </c>
      <c r="U81">
        <f t="shared" si="4"/>
        <v>34684.396732294932</v>
      </c>
      <c r="V81">
        <v>1283788.6872</v>
      </c>
      <c r="W81">
        <v>1</v>
      </c>
      <c r="X81">
        <v>1272902.9255551719</v>
      </c>
      <c r="Y81">
        <v>1</v>
      </c>
      <c r="Z81">
        <f t="shared" si="5"/>
        <v>-5.619506108260116E-2</v>
      </c>
    </row>
    <row r="82" spans="1:26" x14ac:dyDescent="0.3">
      <c r="A82">
        <v>20220407</v>
      </c>
      <c r="B82" s="5">
        <v>44658</v>
      </c>
      <c r="C82">
        <v>761880.85405133374</v>
      </c>
      <c r="D82" s="4">
        <v>747141.93409999798</v>
      </c>
      <c r="E82" s="5">
        <v>44658</v>
      </c>
      <c r="F82" s="4">
        <v>20220407</v>
      </c>
      <c r="G82" s="5"/>
      <c r="H82" s="4">
        <v>770435.32759999996</v>
      </c>
      <c r="I82" s="4">
        <v>742624.60112000001</v>
      </c>
      <c r="J82" s="4">
        <v>708053.74517999997</v>
      </c>
      <c r="K82" s="4">
        <v>729137.81673999992</v>
      </c>
      <c r="L82" s="4">
        <v>751882.56553999998</v>
      </c>
      <c r="M82" s="4">
        <v>706927.56515999802</v>
      </c>
      <c r="N82" s="4">
        <v>963233.76798</v>
      </c>
      <c r="O82" s="4">
        <v>797062.03201999806</v>
      </c>
      <c r="P82" s="4">
        <v>842105.65039999806</v>
      </c>
      <c r="Q82" s="4">
        <v>1144969.7040212126</v>
      </c>
      <c r="R82" s="4">
        <v>2</v>
      </c>
      <c r="S82" s="4">
        <v>0</v>
      </c>
      <c r="T82">
        <f t="shared" si="3"/>
        <v>-68932.78510343004</v>
      </c>
      <c r="U82">
        <f t="shared" si="4"/>
        <v>68934.78510343004</v>
      </c>
      <c r="V82">
        <v>1198554.689</v>
      </c>
      <c r="W82">
        <v>1</v>
      </c>
      <c r="X82">
        <v>1188391.6474710412</v>
      </c>
      <c r="Y82">
        <v>1</v>
      </c>
      <c r="Z82">
        <f t="shared" si="5"/>
        <v>-6.6392555463152425E-2</v>
      </c>
    </row>
    <row r="83" spans="1:26" x14ac:dyDescent="0.3">
      <c r="A83">
        <v>20220408</v>
      </c>
      <c r="B83" s="5">
        <v>44659</v>
      </c>
      <c r="C83">
        <v>729890.23887057242</v>
      </c>
      <c r="D83" s="4">
        <v>725354.39389999805</v>
      </c>
      <c r="E83" s="5">
        <v>44659</v>
      </c>
      <c r="F83" s="4">
        <v>20220408</v>
      </c>
      <c r="G83" s="5"/>
      <c r="H83" s="4">
        <v>721391.96134000004</v>
      </c>
      <c r="I83" s="4">
        <v>695381.91683999996</v>
      </c>
      <c r="J83" s="4">
        <v>661356.95285999996</v>
      </c>
      <c r="K83" s="4">
        <v>683252.05687999993</v>
      </c>
      <c r="L83" s="4">
        <v>718868.16864000005</v>
      </c>
      <c r="M83" s="4">
        <v>675828.70023999806</v>
      </c>
      <c r="N83" s="4">
        <v>923879.46649999986</v>
      </c>
      <c r="O83" s="4">
        <v>766032.98337999801</v>
      </c>
      <c r="P83" s="4">
        <v>823038.77953999792</v>
      </c>
      <c r="Q83" s="4">
        <v>1111393.3029535469</v>
      </c>
      <c r="R83" s="4">
        <v>2</v>
      </c>
      <c r="S83" s="4">
        <v>0</v>
      </c>
      <c r="T83">
        <f t="shared" si="3"/>
        <v>-33576.401067665778</v>
      </c>
      <c r="U83">
        <f t="shared" si="4"/>
        <v>33578.401067665778</v>
      </c>
      <c r="V83">
        <v>1198554.689</v>
      </c>
      <c r="W83">
        <v>0</v>
      </c>
      <c r="X83">
        <v>1159253.8273388906</v>
      </c>
      <c r="Y83">
        <v>1</v>
      </c>
      <c r="Z83">
        <f t="shared" si="5"/>
        <v>-2.4518701552772887E-2</v>
      </c>
    </row>
    <row r="84" spans="1:26" x14ac:dyDescent="0.3">
      <c r="A84">
        <v>20220411</v>
      </c>
      <c r="B84" s="5">
        <v>44662</v>
      </c>
      <c r="C84">
        <v>748155.01220806956</v>
      </c>
      <c r="D84" s="4">
        <v>731943.40429999796</v>
      </c>
      <c r="E84" s="5">
        <v>44662</v>
      </c>
      <c r="F84" s="4">
        <v>20220411</v>
      </c>
      <c r="G84" s="5"/>
      <c r="H84" s="4">
        <v>748065.71432000003</v>
      </c>
      <c r="I84" s="4">
        <v>712595.09291999997</v>
      </c>
      <c r="J84" s="4">
        <v>664731.32868000004</v>
      </c>
      <c r="K84" s="4">
        <v>690704.59138</v>
      </c>
      <c r="L84" s="4">
        <v>729237.91405999998</v>
      </c>
      <c r="M84" s="4">
        <v>685833.34821999795</v>
      </c>
      <c r="N84" s="4">
        <v>936538.8030999999</v>
      </c>
      <c r="O84" s="4">
        <v>771650.25619999808</v>
      </c>
      <c r="P84" s="4">
        <v>826002.90841999801</v>
      </c>
      <c r="Q84" s="4">
        <v>1117153.0950799359</v>
      </c>
      <c r="R84" s="4">
        <v>2</v>
      </c>
      <c r="S84" s="4">
        <v>0</v>
      </c>
      <c r="T84">
        <f t="shared" si="3"/>
        <v>5759.7921263889875</v>
      </c>
      <c r="U84">
        <f t="shared" si="4"/>
        <v>-5757.7921263889875</v>
      </c>
      <c r="V84">
        <v>1198554.689</v>
      </c>
      <c r="W84">
        <v>0</v>
      </c>
      <c r="X84">
        <v>1166304.7495167388</v>
      </c>
      <c r="Y84">
        <v>1</v>
      </c>
      <c r="Z84">
        <f t="shared" si="5"/>
        <v>6.0822936371353817E-3</v>
      </c>
    </row>
    <row r="85" spans="1:26" x14ac:dyDescent="0.3">
      <c r="A85">
        <v>20220412</v>
      </c>
      <c r="B85" s="5">
        <v>44663</v>
      </c>
      <c r="C85">
        <v>731288.60561285086</v>
      </c>
      <c r="D85" s="4">
        <v>720518.78769999801</v>
      </c>
      <c r="E85" s="5">
        <v>44663</v>
      </c>
      <c r="F85" s="4">
        <v>20220412</v>
      </c>
      <c r="G85" s="5"/>
      <c r="H85" s="4">
        <v>705422.88742000004</v>
      </c>
      <c r="I85" s="4">
        <v>688866.06533999997</v>
      </c>
      <c r="J85" s="4">
        <v>654503.01368000009</v>
      </c>
      <c r="K85" s="4">
        <v>674120.74349999998</v>
      </c>
      <c r="L85" s="4">
        <v>711745.17797999992</v>
      </c>
      <c r="M85" s="4">
        <v>668192.70887999795</v>
      </c>
      <c r="N85" s="4">
        <v>914079.00297999999</v>
      </c>
      <c r="O85" s="4">
        <v>735332.20217999793</v>
      </c>
      <c r="P85" s="4">
        <v>792957.294899998</v>
      </c>
      <c r="Q85" s="4">
        <v>1054976.0850801878</v>
      </c>
      <c r="R85" s="4">
        <v>2</v>
      </c>
      <c r="S85" s="4">
        <v>0</v>
      </c>
      <c r="T85">
        <f t="shared" si="3"/>
        <v>-62177.009999748087</v>
      </c>
      <c r="U85">
        <f t="shared" si="4"/>
        <v>62179.009999748087</v>
      </c>
      <c r="V85">
        <v>1150502.5648000001</v>
      </c>
      <c r="W85">
        <v>3</v>
      </c>
      <c r="X85">
        <v>1098734.2023565064</v>
      </c>
      <c r="Y85">
        <v>1</v>
      </c>
      <c r="Z85">
        <f t="shared" si="5"/>
        <v>-5.7935584321533853E-2</v>
      </c>
    </row>
    <row r="86" spans="1:26" x14ac:dyDescent="0.3">
      <c r="A86">
        <v>20220413</v>
      </c>
      <c r="B86" s="5">
        <v>44664</v>
      </c>
      <c r="C86">
        <v>731114.55892471503</v>
      </c>
      <c r="D86" s="4">
        <v>723099.825599998</v>
      </c>
      <c r="E86" s="5">
        <v>44664</v>
      </c>
      <c r="F86" s="4">
        <v>20220413</v>
      </c>
      <c r="G86" s="5"/>
      <c r="H86" s="4">
        <v>716020.03856000002</v>
      </c>
      <c r="I86" s="4">
        <v>716573.31238000002</v>
      </c>
      <c r="J86" s="4">
        <v>648629.83676000009</v>
      </c>
      <c r="K86" s="4">
        <v>680824.86982000002</v>
      </c>
      <c r="L86" s="4">
        <v>714108.58524000004</v>
      </c>
      <c r="M86" s="4">
        <v>667705.831959998</v>
      </c>
      <c r="N86" s="4">
        <v>914335.90840000007</v>
      </c>
      <c r="O86" s="4">
        <v>748590.01677999808</v>
      </c>
      <c r="P86" s="4">
        <v>799503.91599999799</v>
      </c>
      <c r="Q86" s="4">
        <v>1045053.2535483489</v>
      </c>
      <c r="R86" s="4">
        <v>1</v>
      </c>
      <c r="S86" s="4">
        <v>0</v>
      </c>
      <c r="T86">
        <f t="shared" si="3"/>
        <v>-9922.8315318388632</v>
      </c>
      <c r="U86">
        <f t="shared" si="4"/>
        <v>9923.8315318388632</v>
      </c>
      <c r="V86">
        <v>1139681.0982000001</v>
      </c>
      <c r="W86">
        <v>1</v>
      </c>
      <c r="X86">
        <v>1088399.6814192135</v>
      </c>
      <c r="Y86">
        <v>1</v>
      </c>
      <c r="Z86">
        <f t="shared" si="5"/>
        <v>-9.4058425733247481E-3</v>
      </c>
    </row>
    <row r="87" spans="1:26" x14ac:dyDescent="0.3">
      <c r="A87">
        <v>20220414</v>
      </c>
      <c r="B87" s="5">
        <v>44665</v>
      </c>
      <c r="C87">
        <v>729344.53057755821</v>
      </c>
      <c r="D87" s="4">
        <v>712520.563199998</v>
      </c>
      <c r="E87" s="5">
        <v>44665</v>
      </c>
      <c r="F87" s="4">
        <v>20220414</v>
      </c>
      <c r="G87" s="5"/>
      <c r="H87" s="4">
        <v>729969.32841999992</v>
      </c>
      <c r="I87" s="4">
        <v>701753.00931999995</v>
      </c>
      <c r="J87" s="4">
        <v>655995.91317999992</v>
      </c>
      <c r="K87" s="4">
        <v>657958.83305999998</v>
      </c>
      <c r="L87" s="4">
        <v>705723.16682000004</v>
      </c>
      <c r="M87" s="4">
        <v>658715.568719998</v>
      </c>
      <c r="N87" s="4">
        <v>897871.98144</v>
      </c>
      <c r="O87" s="4">
        <v>765502.54811999795</v>
      </c>
      <c r="P87" s="4">
        <v>775244.27575999801</v>
      </c>
      <c r="Q87" s="4">
        <v>1013328.0890737941</v>
      </c>
      <c r="R87" s="4">
        <v>2</v>
      </c>
      <c r="S87" s="4">
        <v>0</v>
      </c>
      <c r="T87">
        <f t="shared" si="3"/>
        <v>-31725.164474554826</v>
      </c>
      <c r="U87">
        <f t="shared" si="4"/>
        <v>31727.164474554826</v>
      </c>
      <c r="V87">
        <v>1102102.6638</v>
      </c>
      <c r="W87">
        <v>1</v>
      </c>
      <c r="X87">
        <v>1052512.1539243343</v>
      </c>
      <c r="Y87">
        <v>1</v>
      </c>
      <c r="Z87">
        <f t="shared" si="5"/>
        <v>-3.29727471511971E-2</v>
      </c>
    </row>
    <row r="88" spans="1:26" x14ac:dyDescent="0.3">
      <c r="A88">
        <v>20220415</v>
      </c>
      <c r="B88" s="5">
        <v>44666</v>
      </c>
      <c r="C88">
        <v>737458.48848023359</v>
      </c>
      <c r="D88" s="4">
        <v>714226.14259999897</v>
      </c>
      <c r="E88" s="5">
        <v>44666</v>
      </c>
      <c r="F88" s="4">
        <v>20220415</v>
      </c>
      <c r="G88" s="5"/>
      <c r="H88" s="4">
        <v>747692.90651999996</v>
      </c>
      <c r="I88" s="4">
        <v>707770.69938000001</v>
      </c>
      <c r="J88" s="4">
        <v>667006.50691999996</v>
      </c>
      <c r="K88" s="4">
        <v>655757.98846000002</v>
      </c>
      <c r="L88" s="4">
        <v>709338.04170000006</v>
      </c>
      <c r="M88" s="4">
        <v>665536.03713999991</v>
      </c>
      <c r="N88" s="4">
        <v>905460.27523999999</v>
      </c>
      <c r="O88" s="4">
        <v>773487.38541999809</v>
      </c>
      <c r="P88" s="4">
        <v>794034.38685999799</v>
      </c>
      <c r="Q88" s="4">
        <v>1038032.6934251182</v>
      </c>
      <c r="R88" s="4">
        <v>2</v>
      </c>
      <c r="S88" s="4">
        <v>0</v>
      </c>
      <c r="T88">
        <f t="shared" si="3"/>
        <v>24704.604351324146</v>
      </c>
      <c r="U88">
        <f t="shared" si="4"/>
        <v>-24702.604351324146</v>
      </c>
      <c r="V88">
        <v>1102102.6638</v>
      </c>
      <c r="W88">
        <v>0</v>
      </c>
      <c r="X88">
        <v>1074205.8834288877</v>
      </c>
      <c r="Y88">
        <v>3</v>
      </c>
      <c r="Z88">
        <f t="shared" si="5"/>
        <v>2.0611381468296986E-2</v>
      </c>
    </row>
    <row r="89" spans="1:26" x14ac:dyDescent="0.3">
      <c r="A89">
        <v>20220418</v>
      </c>
      <c r="B89" s="5">
        <v>44669</v>
      </c>
      <c r="C89">
        <v>727299.9978014183</v>
      </c>
      <c r="D89" s="4">
        <v>710625.05379999802</v>
      </c>
      <c r="E89" s="5">
        <v>44669</v>
      </c>
      <c r="F89" s="4">
        <v>20220418</v>
      </c>
      <c r="G89" s="5"/>
      <c r="H89" s="4">
        <v>735300.98811999999</v>
      </c>
      <c r="I89" s="4">
        <v>704951.84545999998</v>
      </c>
      <c r="J89" s="4">
        <v>648200.69099999999</v>
      </c>
      <c r="K89" s="4">
        <v>656042.76931999996</v>
      </c>
      <c r="L89" s="4">
        <v>702093.32202000008</v>
      </c>
      <c r="M89" s="4">
        <v>660292.68341999804</v>
      </c>
      <c r="N89" s="4">
        <v>899033.90475999995</v>
      </c>
      <c r="O89" s="4">
        <v>764481.90653999802</v>
      </c>
      <c r="P89" s="4">
        <v>785187.25015999796</v>
      </c>
      <c r="Q89" s="4">
        <v>1010249.4988895438</v>
      </c>
      <c r="R89" s="4">
        <v>1</v>
      </c>
      <c r="S89" s="4">
        <v>0</v>
      </c>
      <c r="T89">
        <f t="shared" si="3"/>
        <v>-27783.19453557441</v>
      </c>
      <c r="U89">
        <f t="shared" si="4"/>
        <v>27784.19453557441</v>
      </c>
      <c r="V89">
        <v>1102102.6638</v>
      </c>
      <c r="W89">
        <v>0</v>
      </c>
      <c r="X89">
        <v>1027670.8669920467</v>
      </c>
      <c r="Y89">
        <v>1</v>
      </c>
      <c r="Z89">
        <f t="shared" si="5"/>
        <v>-4.3320388721294505E-2</v>
      </c>
    </row>
    <row r="90" spans="1:26" x14ac:dyDescent="0.3">
      <c r="A90">
        <v>20220419</v>
      </c>
      <c r="B90" s="5">
        <v>44670</v>
      </c>
      <c r="C90">
        <v>700641.54368200514</v>
      </c>
      <c r="D90" s="4">
        <v>701556.04659999895</v>
      </c>
      <c r="E90" s="5">
        <v>44670</v>
      </c>
      <c r="F90" s="4">
        <v>20220419</v>
      </c>
      <c r="G90" s="5"/>
      <c r="H90" s="4">
        <v>729774.90539999993</v>
      </c>
      <c r="I90" s="4">
        <v>688065.58817999996</v>
      </c>
      <c r="J90" s="4">
        <v>645885.06596000004</v>
      </c>
      <c r="K90" s="4">
        <v>655788.51407999999</v>
      </c>
      <c r="L90" s="4">
        <v>688453.83695999999</v>
      </c>
      <c r="M90" s="4">
        <v>645589.55345999799</v>
      </c>
      <c r="N90" s="4">
        <v>879254.7755799999</v>
      </c>
      <c r="O90" s="4">
        <v>754148.77087999799</v>
      </c>
      <c r="P90" s="4">
        <v>785397.15463999799</v>
      </c>
      <c r="Q90" s="4">
        <v>1016602.84881226</v>
      </c>
      <c r="R90" s="4">
        <v>3</v>
      </c>
      <c r="S90" s="4">
        <v>0</v>
      </c>
      <c r="T90">
        <f t="shared" si="3"/>
        <v>6353.3499227161519</v>
      </c>
      <c r="U90">
        <f t="shared" si="4"/>
        <v>-6350.3499227161519</v>
      </c>
      <c r="V90">
        <v>1102102.6638</v>
      </c>
      <c r="W90">
        <v>0</v>
      </c>
      <c r="X90">
        <v>1012118.4286050306</v>
      </c>
      <c r="Y90">
        <v>1</v>
      </c>
      <c r="Z90">
        <f t="shared" si="5"/>
        <v>-1.5133676439167201E-2</v>
      </c>
    </row>
    <row r="91" spans="1:26" x14ac:dyDescent="0.3">
      <c r="A91">
        <v>20220420</v>
      </c>
      <c r="B91" s="5">
        <v>44671</v>
      </c>
      <c r="C91">
        <v>685454.43758115405</v>
      </c>
      <c r="D91" s="4">
        <v>694199.11439999798</v>
      </c>
      <c r="E91" s="5">
        <v>44671</v>
      </c>
      <c r="F91" s="4">
        <v>20220420</v>
      </c>
      <c r="G91" s="5"/>
      <c r="H91" s="4">
        <v>730094.37748000002</v>
      </c>
      <c r="I91" s="4">
        <v>671232.94813999999</v>
      </c>
      <c r="J91" s="4">
        <v>609781.34820000001</v>
      </c>
      <c r="K91" s="4">
        <v>653046.71244000003</v>
      </c>
      <c r="L91" s="4">
        <v>677067.46632000001</v>
      </c>
      <c r="M91" s="4">
        <v>631676.037499998</v>
      </c>
      <c r="N91" s="4">
        <v>859090.87821999996</v>
      </c>
      <c r="O91" s="4">
        <v>760225.52807999798</v>
      </c>
      <c r="P91" s="4">
        <v>762873.94751999795</v>
      </c>
      <c r="Q91" s="4">
        <v>987912.23061652936</v>
      </c>
      <c r="R91" s="4">
        <v>2</v>
      </c>
      <c r="S91" s="4">
        <v>0</v>
      </c>
      <c r="T91">
        <f t="shared" si="3"/>
        <v>-28690.618195730611</v>
      </c>
      <c r="U91">
        <f t="shared" si="4"/>
        <v>28692.618195730611</v>
      </c>
      <c r="V91">
        <v>1069147.115</v>
      </c>
      <c r="W91">
        <v>1</v>
      </c>
      <c r="X91">
        <v>992108.87389001343</v>
      </c>
      <c r="Y91">
        <v>3</v>
      </c>
      <c r="Z91">
        <f t="shared" si="5"/>
        <v>-1.9769973700207902E-2</v>
      </c>
    </row>
    <row r="92" spans="1:26" x14ac:dyDescent="0.3">
      <c r="A92">
        <v>20220421</v>
      </c>
      <c r="B92" s="5">
        <v>44672</v>
      </c>
      <c r="C92">
        <v>680741.93832278368</v>
      </c>
      <c r="D92" s="4">
        <v>686755.94039999903</v>
      </c>
      <c r="E92" s="5">
        <v>44672</v>
      </c>
      <c r="F92" s="4">
        <v>20220421</v>
      </c>
      <c r="G92" s="5"/>
      <c r="H92" s="4">
        <v>709754.35328000004</v>
      </c>
      <c r="I92" s="4">
        <v>667857.71146000002</v>
      </c>
      <c r="J92" s="4">
        <v>584858.25283999997</v>
      </c>
      <c r="K92" s="4">
        <v>621727.82721999998</v>
      </c>
      <c r="L92" s="4">
        <v>663059.99927999999</v>
      </c>
      <c r="M92" s="4">
        <v>625021.99753999803</v>
      </c>
      <c r="N92" s="4">
        <v>850008.52304</v>
      </c>
      <c r="O92" s="4">
        <v>753917.84469999804</v>
      </c>
      <c r="P92" s="4">
        <v>758311.16461999796</v>
      </c>
      <c r="Q92" s="4">
        <v>965791.67517189553</v>
      </c>
      <c r="R92" s="4">
        <v>2</v>
      </c>
      <c r="S92" s="4">
        <v>0</v>
      </c>
      <c r="T92">
        <f t="shared" si="3"/>
        <v>-22120.555444633821</v>
      </c>
      <c r="U92">
        <f t="shared" si="4"/>
        <v>22122.555444633821</v>
      </c>
      <c r="V92">
        <v>1048612.548</v>
      </c>
      <c r="W92">
        <v>1</v>
      </c>
      <c r="X92">
        <v>988479.20269290078</v>
      </c>
      <c r="Y92">
        <v>3</v>
      </c>
      <c r="Z92">
        <f t="shared" si="5"/>
        <v>-3.6585412071569075E-3</v>
      </c>
    </row>
    <row r="93" spans="1:26" x14ac:dyDescent="0.3">
      <c r="A93">
        <v>20220422</v>
      </c>
      <c r="B93" s="5">
        <v>44673</v>
      </c>
      <c r="C93">
        <v>642911.06658437161</v>
      </c>
      <c r="D93" s="4">
        <v>675166.46459999797</v>
      </c>
      <c r="E93" s="5">
        <v>44673</v>
      </c>
      <c r="F93" s="4">
        <v>20220422</v>
      </c>
      <c r="G93" s="5"/>
      <c r="H93" s="4">
        <v>676818.22944000002</v>
      </c>
      <c r="I93" s="4">
        <v>591160.21143999998</v>
      </c>
      <c r="J93" s="4">
        <v>564486.64676000003</v>
      </c>
      <c r="K93" s="4">
        <v>571497.44797999994</v>
      </c>
      <c r="L93" s="4">
        <v>626015.95360000001</v>
      </c>
      <c r="M93" s="4">
        <v>598048.78919999802</v>
      </c>
      <c r="N93" s="4">
        <v>803490.60537999996</v>
      </c>
      <c r="O93" s="4">
        <v>698845.99037999799</v>
      </c>
      <c r="P93" s="4">
        <v>707449.82485999796</v>
      </c>
      <c r="Q93" s="4">
        <v>965791.67517189553</v>
      </c>
      <c r="R93" s="4">
        <v>0</v>
      </c>
      <c r="S93" s="4">
        <v>0</v>
      </c>
      <c r="T93">
        <f t="shared" si="3"/>
        <v>0</v>
      </c>
      <c r="U93">
        <f t="shared" si="4"/>
        <v>0</v>
      </c>
      <c r="V93">
        <v>1048612.548</v>
      </c>
      <c r="W93">
        <v>0</v>
      </c>
      <c r="X93">
        <v>906946.95382221357</v>
      </c>
      <c r="Y93">
        <v>3</v>
      </c>
      <c r="Z93">
        <f t="shared" si="5"/>
        <v>-8.2482513186488887E-2</v>
      </c>
    </row>
    <row r="94" spans="1:26" x14ac:dyDescent="0.3">
      <c r="A94">
        <v>20220425</v>
      </c>
      <c r="B94" s="5">
        <v>44676</v>
      </c>
      <c r="C94">
        <v>637419.96316467435</v>
      </c>
      <c r="D94" s="4">
        <v>669360.82309999701</v>
      </c>
      <c r="E94" s="5">
        <v>44676</v>
      </c>
      <c r="F94" s="4">
        <v>20220425</v>
      </c>
      <c r="G94" s="5"/>
      <c r="H94" s="4">
        <v>641976.32532000006</v>
      </c>
      <c r="I94" s="4">
        <v>568887.70744000003</v>
      </c>
      <c r="J94" s="4">
        <v>549797.30266000004</v>
      </c>
      <c r="K94" s="4">
        <v>568563.84166000003</v>
      </c>
      <c r="L94" s="4">
        <v>615440.31245999993</v>
      </c>
      <c r="M94" s="4">
        <v>585173.70621999796</v>
      </c>
      <c r="N94" s="4">
        <v>788633.77176000003</v>
      </c>
      <c r="O94" s="4">
        <v>641836.87975999794</v>
      </c>
      <c r="P94" s="4">
        <v>692774.59457999805</v>
      </c>
      <c r="Q94" s="4">
        <v>946805.04241803521</v>
      </c>
      <c r="R94" s="4">
        <v>1</v>
      </c>
      <c r="S94" s="4">
        <v>0</v>
      </c>
      <c r="T94">
        <f t="shared" si="3"/>
        <v>-18986.632753860322</v>
      </c>
      <c r="U94">
        <f t="shared" si="4"/>
        <v>18987.632753860322</v>
      </c>
      <c r="V94">
        <v>1048612.548</v>
      </c>
      <c r="W94">
        <v>0</v>
      </c>
      <c r="X94">
        <v>887657.68975217664</v>
      </c>
      <c r="Y94">
        <v>3</v>
      </c>
      <c r="Z94">
        <f t="shared" si="5"/>
        <v>-2.1268348704127367E-2</v>
      </c>
    </row>
    <row r="95" spans="1:26" x14ac:dyDescent="0.3">
      <c r="A95">
        <v>20220426</v>
      </c>
      <c r="B95" s="5">
        <v>44677</v>
      </c>
      <c r="C95">
        <v>672580.68575280102</v>
      </c>
      <c r="D95" s="4">
        <v>677879.95769999898</v>
      </c>
      <c r="E95" s="5">
        <v>44677</v>
      </c>
      <c r="F95" s="4">
        <v>20220426</v>
      </c>
      <c r="G95" s="5"/>
      <c r="H95" s="4">
        <v>674685.91356000002</v>
      </c>
      <c r="I95" s="4">
        <v>605733.57021999999</v>
      </c>
      <c r="J95" s="4">
        <v>567877.32357999997</v>
      </c>
      <c r="K95" s="4">
        <v>584648.93870000006</v>
      </c>
      <c r="L95" s="4">
        <v>641545.2193</v>
      </c>
      <c r="M95" s="4">
        <v>608352.63253999804</v>
      </c>
      <c r="N95" s="4">
        <v>819901.15434000001</v>
      </c>
      <c r="O95" s="4">
        <v>661713.146079998</v>
      </c>
      <c r="P95" s="4">
        <v>724745.69633999805</v>
      </c>
      <c r="Q95" s="4">
        <v>990936.88082134479</v>
      </c>
      <c r="R95" s="4">
        <v>4</v>
      </c>
      <c r="S95" s="4">
        <v>0</v>
      </c>
      <c r="T95">
        <f t="shared" si="3"/>
        <v>44131.838403309579</v>
      </c>
      <c r="U95">
        <f t="shared" si="4"/>
        <v>-44127.838403309579</v>
      </c>
      <c r="V95">
        <v>1098643.514</v>
      </c>
      <c r="W95">
        <v>2</v>
      </c>
      <c r="X95">
        <v>929358.52492466371</v>
      </c>
      <c r="Y95">
        <v>3</v>
      </c>
      <c r="Z95">
        <f t="shared" si="5"/>
        <v>4.6978509456871202E-2</v>
      </c>
    </row>
    <row r="96" spans="1:26" x14ac:dyDescent="0.3">
      <c r="A96">
        <v>20220427</v>
      </c>
      <c r="B96" s="5">
        <v>44678</v>
      </c>
      <c r="C96">
        <v>660264.38823529577</v>
      </c>
      <c r="D96" s="4">
        <v>674387.13319999899</v>
      </c>
      <c r="E96" s="5">
        <v>44678</v>
      </c>
      <c r="F96" s="4">
        <v>20220427</v>
      </c>
      <c r="G96" s="5"/>
      <c r="H96" s="4">
        <v>684338.60855999996</v>
      </c>
      <c r="I96" s="4">
        <v>582258.95756000001</v>
      </c>
      <c r="J96" s="4">
        <v>537313.02233999991</v>
      </c>
      <c r="K96" s="4">
        <v>588640.25845999992</v>
      </c>
      <c r="L96" s="4">
        <v>631125.70990000002</v>
      </c>
      <c r="M96" s="4">
        <v>603171.48555999796</v>
      </c>
      <c r="N96" s="4">
        <v>810254.01793999993</v>
      </c>
      <c r="O96" s="4">
        <v>644385.60625999805</v>
      </c>
      <c r="P96" s="4">
        <v>722728.38737999799</v>
      </c>
      <c r="Q96" s="4">
        <v>976479.21235184011</v>
      </c>
      <c r="R96" s="4">
        <v>4</v>
      </c>
      <c r="S96" s="4">
        <v>0</v>
      </c>
      <c r="T96">
        <f t="shared" si="3"/>
        <v>-14457.668469504686</v>
      </c>
      <c r="U96">
        <f t="shared" si="4"/>
        <v>14461.668469504686</v>
      </c>
      <c r="V96">
        <v>1098643.514</v>
      </c>
      <c r="W96">
        <v>0</v>
      </c>
      <c r="X96">
        <v>909092.65241412329</v>
      </c>
      <c r="Y96">
        <v>3</v>
      </c>
      <c r="Z96">
        <f t="shared" si="5"/>
        <v>-2.1806301838338676E-2</v>
      </c>
    </row>
    <row r="97" spans="1:26" x14ac:dyDescent="0.3">
      <c r="A97">
        <v>20220428</v>
      </c>
      <c r="B97" s="5">
        <v>44679</v>
      </c>
      <c r="C97">
        <v>687368.90163674287</v>
      </c>
      <c r="D97" s="4">
        <v>684835.80229999998</v>
      </c>
      <c r="E97" s="5">
        <v>44679</v>
      </c>
      <c r="F97" s="4">
        <v>20220428</v>
      </c>
      <c r="G97" s="5"/>
      <c r="H97" s="4">
        <v>723388.43388000003</v>
      </c>
      <c r="I97" s="4">
        <v>613745.03823999991</v>
      </c>
      <c r="J97" s="4">
        <v>566633.53656000004</v>
      </c>
      <c r="K97" s="4">
        <v>630568.83548000001</v>
      </c>
      <c r="L97" s="4">
        <v>657785.92948000005</v>
      </c>
      <c r="M97" s="4">
        <v>623891.71132</v>
      </c>
      <c r="N97" s="4">
        <v>843169.81848000013</v>
      </c>
      <c r="O97" s="4">
        <v>646055.19985999796</v>
      </c>
      <c r="P97" s="4">
        <v>742573.91789999802</v>
      </c>
      <c r="Q97" s="4">
        <v>1013444.6654266121</v>
      </c>
      <c r="R97" s="4">
        <v>3</v>
      </c>
      <c r="S97" s="4">
        <v>0</v>
      </c>
      <c r="T97">
        <f t="shared" si="3"/>
        <v>36965.453074772027</v>
      </c>
      <c r="U97">
        <f t="shared" si="4"/>
        <v>-36962.453074772027</v>
      </c>
      <c r="V97">
        <v>1098643.514</v>
      </c>
      <c r="W97">
        <v>0</v>
      </c>
      <c r="X97">
        <v>943507.13031020213</v>
      </c>
      <c r="Y97">
        <v>3</v>
      </c>
      <c r="Z97">
        <f t="shared" si="5"/>
        <v>3.7855853091200486E-2</v>
      </c>
    </row>
    <row r="98" spans="1:26" x14ac:dyDescent="0.3">
      <c r="A98">
        <v>20220429</v>
      </c>
      <c r="B98" s="5">
        <v>44680</v>
      </c>
      <c r="C98">
        <v>678248.89104982652</v>
      </c>
      <c r="D98" s="4">
        <v>687582.46610000101</v>
      </c>
      <c r="E98" s="5">
        <v>44680</v>
      </c>
      <c r="G98" s="5"/>
      <c r="H98" s="4">
        <v>741295.40295999998</v>
      </c>
      <c r="I98" s="4">
        <v>619217.20757999993</v>
      </c>
      <c r="J98" s="4">
        <v>567160.27486</v>
      </c>
      <c r="K98" s="4">
        <v>635713.55443999998</v>
      </c>
      <c r="L98" s="4">
        <v>666115.12517999799</v>
      </c>
      <c r="M98" s="4">
        <v>632392.0564</v>
      </c>
      <c r="N98" s="4">
        <v>853035.39659999998</v>
      </c>
      <c r="O98" s="4">
        <v>650516.35389999801</v>
      </c>
      <c r="P98" s="4">
        <v>742003.592539998</v>
      </c>
      <c r="Q98" s="4">
        <v>1016141.7740917157</v>
      </c>
      <c r="R98" s="4">
        <v>3</v>
      </c>
      <c r="S98" s="4">
        <v>0</v>
      </c>
      <c r="T98">
        <f t="shared" si="3"/>
        <v>2697.1086651035585</v>
      </c>
      <c r="U98">
        <f t="shared" si="4"/>
        <v>-2694.1086651035585</v>
      </c>
      <c r="V98">
        <v>1086417.594</v>
      </c>
      <c r="W98">
        <v>1</v>
      </c>
      <c r="X98">
        <v>946018.07256940764</v>
      </c>
      <c r="Y98">
        <v>3</v>
      </c>
      <c r="Z98">
        <f t="shared" si="5"/>
        <v>2.6612859389626114E-3</v>
      </c>
    </row>
    <row r="99" spans="1:26" x14ac:dyDescent="0.3">
      <c r="A99">
        <v>20220505</v>
      </c>
      <c r="B99" s="5">
        <v>44686</v>
      </c>
      <c r="C99">
        <v>665364.87511544407</v>
      </c>
      <c r="D99" s="4">
        <v>686780.65180000104</v>
      </c>
      <c r="E99" s="5">
        <v>44686</v>
      </c>
      <c r="F99" s="4">
        <v>20220505</v>
      </c>
      <c r="G99" s="5"/>
      <c r="H99" s="4">
        <v>739722.18823999993</v>
      </c>
      <c r="I99" s="4">
        <v>621624.36470000003</v>
      </c>
      <c r="J99" s="4">
        <v>557407.84456</v>
      </c>
      <c r="K99" s="4">
        <v>624887.66210000007</v>
      </c>
      <c r="L99" s="4">
        <v>663409.17903999798</v>
      </c>
      <c r="M99" s="4">
        <v>628692.29796</v>
      </c>
      <c r="N99" s="4">
        <v>848878.2522600001</v>
      </c>
      <c r="O99" s="4">
        <v>664585.27993999806</v>
      </c>
      <c r="P99" s="4">
        <v>747710.734799998</v>
      </c>
      <c r="Q99" s="4">
        <v>1048654.1476278009</v>
      </c>
      <c r="R99" s="4">
        <v>2</v>
      </c>
      <c r="S99" s="4">
        <v>0</v>
      </c>
      <c r="T99">
        <f t="shared" si="3"/>
        <v>32512.373536085244</v>
      </c>
      <c r="U99">
        <f t="shared" si="4"/>
        <v>-32510.373536085244</v>
      </c>
      <c r="V99">
        <v>1094757.9958000001</v>
      </c>
      <c r="W99">
        <v>2</v>
      </c>
      <c r="X99">
        <v>953888.02315542917</v>
      </c>
      <c r="Y99">
        <v>1</v>
      </c>
      <c r="Z99">
        <f t="shared" si="5"/>
        <v>8.3190277376483466E-3</v>
      </c>
    </row>
    <row r="100" spans="1:26" x14ac:dyDescent="0.3">
      <c r="A100">
        <v>20220506</v>
      </c>
      <c r="B100" s="5">
        <v>44687</v>
      </c>
      <c r="C100">
        <v>660346.69322732347</v>
      </c>
      <c r="D100" s="4">
        <v>689261.51400000101</v>
      </c>
      <c r="E100" s="5">
        <v>44687</v>
      </c>
      <c r="F100" s="4">
        <v>20220506</v>
      </c>
      <c r="G100" s="5"/>
      <c r="H100" s="4">
        <v>746348.02411999996</v>
      </c>
      <c r="I100" s="4">
        <v>616117.39413999999</v>
      </c>
      <c r="J100" s="4">
        <v>562160.88234000001</v>
      </c>
      <c r="K100" s="4">
        <v>628766.69135999994</v>
      </c>
      <c r="L100" s="4">
        <v>665921.27087999799</v>
      </c>
      <c r="M100" s="4">
        <v>631680.19143999997</v>
      </c>
      <c r="N100" s="4">
        <v>851239.19908000005</v>
      </c>
      <c r="O100" s="4">
        <v>652292.58679999807</v>
      </c>
      <c r="P100" s="4">
        <v>757530.17075999803</v>
      </c>
      <c r="Q100" s="4">
        <v>1059049.7294465629</v>
      </c>
      <c r="R100" s="4">
        <v>2</v>
      </c>
      <c r="S100" s="4">
        <v>0</v>
      </c>
      <c r="T100">
        <f t="shared" si="3"/>
        <v>10395.581818762003</v>
      </c>
      <c r="U100">
        <f t="shared" si="4"/>
        <v>-10393.581818762003</v>
      </c>
      <c r="V100">
        <v>1094757.9958000001</v>
      </c>
      <c r="W100">
        <v>0</v>
      </c>
      <c r="X100">
        <v>947002.69744520867</v>
      </c>
      <c r="Y100">
        <v>1</v>
      </c>
      <c r="Z100">
        <f t="shared" si="5"/>
        <v>-7.218169788361606E-3</v>
      </c>
    </row>
    <row r="101" spans="1:26" x14ac:dyDescent="0.3">
      <c r="A101">
        <v>20220509</v>
      </c>
      <c r="B101" s="5">
        <v>44690</v>
      </c>
      <c r="C101">
        <v>674642.53878900164</v>
      </c>
      <c r="D101" s="4">
        <v>702198.21270000096</v>
      </c>
      <c r="E101" s="5">
        <v>44690</v>
      </c>
      <c r="F101" s="4">
        <v>20220509</v>
      </c>
      <c r="G101" s="5"/>
      <c r="H101" s="4">
        <v>790655.73203999992</v>
      </c>
      <c r="I101" s="4">
        <v>637406.35969999793</v>
      </c>
      <c r="J101" s="4">
        <v>578999.69787999999</v>
      </c>
      <c r="K101" s="4">
        <v>654004.91189999995</v>
      </c>
      <c r="L101" s="4">
        <v>683288.38393999799</v>
      </c>
      <c r="M101" s="4">
        <v>651659.70791999996</v>
      </c>
      <c r="N101" s="4">
        <v>877942.73746000009</v>
      </c>
      <c r="O101" s="4">
        <v>678247.62907999801</v>
      </c>
      <c r="P101" s="4">
        <v>792815.04747999809</v>
      </c>
      <c r="Q101" s="4">
        <v>1104215.5042293123</v>
      </c>
      <c r="R101" s="4">
        <v>4</v>
      </c>
      <c r="S101" s="4">
        <v>0</v>
      </c>
      <c r="T101">
        <f t="shared" si="3"/>
        <v>45165.774782749359</v>
      </c>
      <c r="U101">
        <f t="shared" si="4"/>
        <v>-45161.774782749359</v>
      </c>
      <c r="V101">
        <v>1094757.9958000001</v>
      </c>
      <c r="W101">
        <v>0</v>
      </c>
      <c r="X101">
        <v>950415.26771807263</v>
      </c>
      <c r="Y101">
        <v>1</v>
      </c>
      <c r="Z101">
        <f t="shared" si="5"/>
        <v>3.6035486298721998E-3</v>
      </c>
    </row>
    <row r="102" spans="1:26" x14ac:dyDescent="0.3">
      <c r="A102">
        <v>20220510</v>
      </c>
      <c r="B102" s="5">
        <v>44691</v>
      </c>
      <c r="C102">
        <v>695320.33260288462</v>
      </c>
      <c r="D102" s="4">
        <v>716131.28700000094</v>
      </c>
      <c r="E102" s="5">
        <v>44691</v>
      </c>
      <c r="F102" s="4">
        <v>20220510</v>
      </c>
      <c r="G102" s="5"/>
      <c r="H102" s="4">
        <v>827157.27397999994</v>
      </c>
      <c r="I102" s="4">
        <v>670970.35677999794</v>
      </c>
      <c r="J102" s="4">
        <v>610276.10653999995</v>
      </c>
      <c r="K102" s="4">
        <v>653519.28936000005</v>
      </c>
      <c r="L102" s="4">
        <v>707415.51083999802</v>
      </c>
      <c r="M102" s="4">
        <v>670052.31025999994</v>
      </c>
      <c r="N102" s="4">
        <v>894657.52643999993</v>
      </c>
      <c r="O102" s="4">
        <v>696529.05945999804</v>
      </c>
      <c r="P102" s="4">
        <v>808866.69161999808</v>
      </c>
      <c r="Q102" s="4">
        <v>1118511.2486253856</v>
      </c>
      <c r="R102" s="4">
        <v>4</v>
      </c>
      <c r="S102" s="4">
        <v>0</v>
      </c>
      <c r="T102">
        <f t="shared" si="3"/>
        <v>14295.744396073278</v>
      </c>
      <c r="U102">
        <f t="shared" si="4"/>
        <v>-14291.744396073278</v>
      </c>
      <c r="V102">
        <v>1119464.3900000001</v>
      </c>
      <c r="W102">
        <v>2</v>
      </c>
      <c r="X102">
        <v>980938.34954618977</v>
      </c>
      <c r="Y102">
        <v>1</v>
      </c>
      <c r="Z102">
        <f t="shared" si="5"/>
        <v>3.2115521356682775E-2</v>
      </c>
    </row>
    <row r="103" spans="1:26" x14ac:dyDescent="0.3">
      <c r="A103">
        <v>20220511</v>
      </c>
      <c r="B103" s="5">
        <v>44692</v>
      </c>
      <c r="C103">
        <v>696826.39644330251</v>
      </c>
      <c r="D103" s="4">
        <v>717310.89950000099</v>
      </c>
      <c r="E103" s="5">
        <v>44692</v>
      </c>
      <c r="F103" s="4">
        <v>20220511</v>
      </c>
      <c r="G103" s="5"/>
      <c r="H103" s="4">
        <v>836520.00300000003</v>
      </c>
      <c r="I103" s="4">
        <v>675407.29529999802</v>
      </c>
      <c r="J103" s="4">
        <v>608466.05802</v>
      </c>
      <c r="K103" s="4">
        <v>639759.46862000006</v>
      </c>
      <c r="L103" s="4">
        <v>708468.14457999798</v>
      </c>
      <c r="M103" s="4">
        <v>674152.15847999998</v>
      </c>
      <c r="N103" s="4">
        <v>896876.64589999802</v>
      </c>
      <c r="O103" s="4">
        <v>706162.09897999803</v>
      </c>
      <c r="P103" s="4">
        <v>815149.15617999795</v>
      </c>
      <c r="Q103" s="4">
        <v>1127321.5569057097</v>
      </c>
      <c r="R103" s="4">
        <v>1</v>
      </c>
      <c r="S103" s="4">
        <v>0</v>
      </c>
      <c r="T103">
        <f t="shared" si="3"/>
        <v>8810.3082803240977</v>
      </c>
      <c r="U103">
        <f t="shared" si="4"/>
        <v>-8809.3082803240977</v>
      </c>
      <c r="V103">
        <v>1128282.1264</v>
      </c>
      <c r="W103">
        <v>1</v>
      </c>
      <c r="X103">
        <v>988664.95427045319</v>
      </c>
      <c r="Y103">
        <v>1</v>
      </c>
      <c r="Z103">
        <f t="shared" si="5"/>
        <v>7.8767485518717578E-3</v>
      </c>
    </row>
    <row r="104" spans="1:26" x14ac:dyDescent="0.3">
      <c r="A104">
        <v>20220512</v>
      </c>
      <c r="B104" s="5">
        <v>44693</v>
      </c>
      <c r="C104">
        <v>698856.94856253825</v>
      </c>
      <c r="D104" s="4">
        <v>714823.30710000102</v>
      </c>
      <c r="E104" s="5">
        <v>44693</v>
      </c>
      <c r="F104" s="4">
        <v>20220512</v>
      </c>
      <c r="G104" s="5"/>
      <c r="H104" s="4">
        <v>829285.30631999997</v>
      </c>
      <c r="I104" s="4">
        <v>671889.35965999798</v>
      </c>
      <c r="J104" s="4">
        <v>602921.95517999993</v>
      </c>
      <c r="K104" s="4">
        <v>636767.17545999994</v>
      </c>
      <c r="L104" s="4">
        <v>707532.94541999802</v>
      </c>
      <c r="M104" s="4">
        <v>669826.07418</v>
      </c>
      <c r="N104" s="4">
        <v>895705.53943999799</v>
      </c>
      <c r="O104" s="4">
        <v>696579.34741999791</v>
      </c>
      <c r="P104" s="4">
        <v>809760.94029999804</v>
      </c>
      <c r="Q104" s="4">
        <v>1118088.0997973063</v>
      </c>
      <c r="R104" s="4">
        <v>3</v>
      </c>
      <c r="S104" s="4">
        <v>0</v>
      </c>
      <c r="T104">
        <f t="shared" si="3"/>
        <v>-9233.4571084033232</v>
      </c>
      <c r="U104">
        <f t="shared" si="4"/>
        <v>9236.4571084033232</v>
      </c>
      <c r="V104">
        <v>1125753.6344000001</v>
      </c>
      <c r="W104">
        <v>1</v>
      </c>
      <c r="X104">
        <v>986449.34240078554</v>
      </c>
      <c r="Y104">
        <v>1</v>
      </c>
      <c r="Z104">
        <f t="shared" si="5"/>
        <v>-2.2410138643000461E-3</v>
      </c>
    </row>
    <row r="105" spans="1:26" x14ac:dyDescent="0.3">
      <c r="A105">
        <v>20220513</v>
      </c>
      <c r="B105" s="5">
        <v>44694</v>
      </c>
      <c r="C105">
        <v>690864.82049877709</v>
      </c>
      <c r="D105" s="4">
        <v>707577.95230000105</v>
      </c>
      <c r="E105" s="5">
        <v>44694</v>
      </c>
      <c r="F105" s="4">
        <v>20220513</v>
      </c>
      <c r="G105" s="5"/>
      <c r="H105" s="4">
        <v>819465.27283999999</v>
      </c>
      <c r="I105" s="4">
        <v>662743.80735999998</v>
      </c>
      <c r="J105" s="4">
        <v>591033.10733999999</v>
      </c>
      <c r="K105" s="4">
        <v>622850.92164000007</v>
      </c>
      <c r="L105" s="4">
        <v>703903.68085999798</v>
      </c>
      <c r="M105" s="4">
        <v>665502.50260000001</v>
      </c>
      <c r="N105" s="4">
        <v>890087.78875999991</v>
      </c>
      <c r="O105" s="4">
        <v>686412.05789999804</v>
      </c>
      <c r="P105" s="4">
        <v>794324.90511999803</v>
      </c>
      <c r="Q105" s="4">
        <v>1094894.039407186</v>
      </c>
      <c r="R105" s="4">
        <v>3</v>
      </c>
      <c r="S105" s="4">
        <v>0</v>
      </c>
      <c r="T105">
        <f t="shared" si="3"/>
        <v>-23194.060390120372</v>
      </c>
      <c r="U105">
        <f t="shared" si="4"/>
        <v>23197.060390120372</v>
      </c>
      <c r="V105">
        <v>1104256.8306</v>
      </c>
      <c r="W105">
        <v>3</v>
      </c>
      <c r="X105">
        <v>941696.37615808717</v>
      </c>
      <c r="Y105">
        <v>1</v>
      </c>
      <c r="Z105">
        <f t="shared" si="5"/>
        <v>-4.5367728801744833E-2</v>
      </c>
    </row>
    <row r="106" spans="1:26" x14ac:dyDescent="0.3">
      <c r="A106">
        <v>20220516</v>
      </c>
      <c r="B106" s="5">
        <v>44697</v>
      </c>
      <c r="C106">
        <v>702073.41134654917</v>
      </c>
      <c r="D106" s="4">
        <v>717015.31290000095</v>
      </c>
      <c r="E106" s="5">
        <v>44697</v>
      </c>
      <c r="F106" s="4">
        <v>20220516</v>
      </c>
      <c r="G106" s="5"/>
      <c r="H106" s="4">
        <v>827292.24734</v>
      </c>
      <c r="I106" s="4">
        <v>671283.54628000001</v>
      </c>
      <c r="J106" s="4">
        <v>604963.37926000007</v>
      </c>
      <c r="K106" s="4">
        <v>642254.81562000001</v>
      </c>
      <c r="L106" s="4">
        <v>719099.83951999794</v>
      </c>
      <c r="M106" s="4">
        <v>679457.78216000006</v>
      </c>
      <c r="N106" s="4">
        <v>908308.01919999998</v>
      </c>
      <c r="O106" s="4">
        <v>701373.89545999805</v>
      </c>
      <c r="P106" s="4">
        <v>815700.39281999809</v>
      </c>
      <c r="Q106" s="4">
        <v>1124412.1990414232</v>
      </c>
      <c r="R106" s="4">
        <v>4</v>
      </c>
      <c r="S106" s="4">
        <v>0</v>
      </c>
      <c r="T106">
        <f t="shared" si="3"/>
        <v>29518.159634237178</v>
      </c>
      <c r="U106">
        <f t="shared" si="4"/>
        <v>-29514.159634237178</v>
      </c>
      <c r="V106">
        <v>1128592.8829999999</v>
      </c>
      <c r="W106">
        <v>2</v>
      </c>
      <c r="X106">
        <v>980902.62427559448</v>
      </c>
      <c r="Y106">
        <v>1</v>
      </c>
      <c r="Z106">
        <f t="shared" si="5"/>
        <v>4.1633640215820021E-2</v>
      </c>
    </row>
    <row r="107" spans="1:26" x14ac:dyDescent="0.3">
      <c r="A107">
        <v>20220517</v>
      </c>
      <c r="B107" s="5">
        <v>44698</v>
      </c>
      <c r="C107">
        <v>700962.02913638763</v>
      </c>
      <c r="D107" s="4">
        <v>716594.31910000101</v>
      </c>
      <c r="E107" s="5">
        <v>44698</v>
      </c>
      <c r="F107" s="4">
        <v>20220517</v>
      </c>
      <c r="G107" s="5"/>
      <c r="H107" s="4">
        <v>827955.57426000002</v>
      </c>
      <c r="I107" s="4">
        <v>665984.95810000005</v>
      </c>
      <c r="J107" s="4">
        <v>595390.51487999992</v>
      </c>
      <c r="K107" s="4">
        <v>634626.89277999999</v>
      </c>
      <c r="L107" s="4">
        <v>719023.92937999801</v>
      </c>
      <c r="M107" s="4">
        <v>679621.69579999999</v>
      </c>
      <c r="N107" s="4">
        <v>903915.36049999797</v>
      </c>
      <c r="O107" s="4">
        <v>704293.495119998</v>
      </c>
      <c r="P107" s="4">
        <v>827000.36587999796</v>
      </c>
      <c r="Q107" s="4">
        <v>1140262.0763151392</v>
      </c>
      <c r="R107" s="4">
        <v>4</v>
      </c>
      <c r="S107" s="4">
        <v>0</v>
      </c>
      <c r="T107">
        <f t="shared" si="3"/>
        <v>15849.877273716033</v>
      </c>
      <c r="U107">
        <f t="shared" si="4"/>
        <v>-15845.877273716033</v>
      </c>
      <c r="V107">
        <v>1123488.4622</v>
      </c>
      <c r="W107">
        <v>2</v>
      </c>
      <c r="X107">
        <v>976466.18183003517</v>
      </c>
      <c r="Y107">
        <v>2</v>
      </c>
      <c r="Z107">
        <f t="shared" si="5"/>
        <v>-4.5228163690923589E-3</v>
      </c>
    </row>
    <row r="108" spans="1:26" x14ac:dyDescent="0.3">
      <c r="A108">
        <v>20220518</v>
      </c>
      <c r="B108" s="5">
        <v>44699</v>
      </c>
      <c r="C108">
        <v>704432.49214264192</v>
      </c>
      <c r="D108" s="4">
        <v>718588.51840000099</v>
      </c>
      <c r="E108" s="5">
        <v>44699</v>
      </c>
      <c r="F108" s="4">
        <v>20220518</v>
      </c>
      <c r="G108" s="5"/>
      <c r="H108" s="4">
        <v>828589.15892000007</v>
      </c>
      <c r="I108" s="4">
        <v>662568.21613999992</v>
      </c>
      <c r="J108" s="4">
        <v>584200.41645999998</v>
      </c>
      <c r="K108" s="4">
        <v>655341.88436000003</v>
      </c>
      <c r="L108" s="4">
        <v>721417.55675999797</v>
      </c>
      <c r="M108" s="4">
        <v>681019.1237</v>
      </c>
      <c r="N108" s="4">
        <v>906748.75843999791</v>
      </c>
      <c r="O108" s="4">
        <v>702394.74583999801</v>
      </c>
      <c r="P108" s="4">
        <v>816374.729219998</v>
      </c>
      <c r="Q108" s="4">
        <v>1125607.9863308817</v>
      </c>
      <c r="R108" s="4">
        <v>4</v>
      </c>
      <c r="S108" s="4">
        <v>0</v>
      </c>
      <c r="T108">
        <f t="shared" si="3"/>
        <v>-14654.089984257473</v>
      </c>
      <c r="U108">
        <f t="shared" si="4"/>
        <v>14658.089984257473</v>
      </c>
      <c r="V108">
        <v>1102876.2308</v>
      </c>
      <c r="W108">
        <v>2</v>
      </c>
      <c r="X108">
        <v>965330.5865287768</v>
      </c>
      <c r="Y108">
        <v>3</v>
      </c>
      <c r="Z108">
        <f t="shared" si="5"/>
        <v>-1.1403974360267863E-2</v>
      </c>
    </row>
    <row r="109" spans="1:26" x14ac:dyDescent="0.3">
      <c r="A109">
        <v>20220519</v>
      </c>
      <c r="B109" s="5">
        <v>44700</v>
      </c>
      <c r="C109">
        <v>716340.21898982115</v>
      </c>
      <c r="D109" s="4">
        <v>734083.17420000106</v>
      </c>
      <c r="E109" s="5">
        <v>44700</v>
      </c>
      <c r="F109" s="4">
        <v>20220519</v>
      </c>
      <c r="G109" s="5"/>
      <c r="H109" s="4">
        <v>851255.49781999993</v>
      </c>
      <c r="I109" s="4">
        <v>677485.73595999996</v>
      </c>
      <c r="J109" s="4">
        <v>594729.97362000006</v>
      </c>
      <c r="K109" s="4">
        <v>697159.73024000006</v>
      </c>
      <c r="L109" s="4">
        <v>740076.02713999804</v>
      </c>
      <c r="M109" s="4">
        <v>708361.95178</v>
      </c>
      <c r="N109" s="4">
        <v>927895.639199998</v>
      </c>
      <c r="O109" s="4">
        <v>745397.75215999805</v>
      </c>
      <c r="P109" s="4">
        <v>854908.82013999799</v>
      </c>
      <c r="Q109" s="4">
        <v>1178752.3885219391</v>
      </c>
      <c r="R109" s="4">
        <v>4</v>
      </c>
      <c r="S109" s="4">
        <v>0</v>
      </c>
      <c r="T109">
        <f t="shared" si="3"/>
        <v>53144.402191057336</v>
      </c>
      <c r="U109">
        <f t="shared" si="4"/>
        <v>-53140.402191057336</v>
      </c>
      <c r="V109">
        <v>1102969.0456000001</v>
      </c>
      <c r="W109">
        <v>2</v>
      </c>
      <c r="X109">
        <v>1029141.4545675061</v>
      </c>
      <c r="Y109">
        <v>3</v>
      </c>
      <c r="Z109">
        <f t="shared" si="5"/>
        <v>6.6102606639851957E-2</v>
      </c>
    </row>
    <row r="110" spans="1:26" x14ac:dyDescent="0.3">
      <c r="A110">
        <v>20220520</v>
      </c>
      <c r="B110" s="5">
        <v>44701</v>
      </c>
      <c r="C110">
        <v>714186.90029153775</v>
      </c>
      <c r="D110" s="4">
        <v>740120.03530000104</v>
      </c>
      <c r="E110" s="5">
        <v>44701</v>
      </c>
      <c r="F110" s="4">
        <v>20220520</v>
      </c>
      <c r="G110" s="5"/>
      <c r="H110" s="4">
        <v>854563.62413999997</v>
      </c>
      <c r="I110" s="4">
        <v>677035.39269999997</v>
      </c>
      <c r="J110" s="4">
        <v>589243.25135999999</v>
      </c>
      <c r="K110" s="4">
        <v>701330.67772000004</v>
      </c>
      <c r="L110" s="4">
        <v>748197.20932000002</v>
      </c>
      <c r="M110" s="4">
        <v>711114.71387999994</v>
      </c>
      <c r="N110" s="4">
        <v>942292.86106000002</v>
      </c>
      <c r="O110" s="4">
        <v>747700.88943999796</v>
      </c>
      <c r="P110" s="4">
        <v>848581.57287999801</v>
      </c>
      <c r="Q110" s="4">
        <v>1169571.2761635075</v>
      </c>
      <c r="R110" s="4">
        <v>3</v>
      </c>
      <c r="S110" s="4">
        <v>0</v>
      </c>
      <c r="T110">
        <f t="shared" si="3"/>
        <v>-9181.1123584315646</v>
      </c>
      <c r="U110">
        <f t="shared" si="4"/>
        <v>9184.1123584315646</v>
      </c>
      <c r="V110">
        <v>1088818.5188</v>
      </c>
      <c r="W110">
        <v>1</v>
      </c>
      <c r="X110">
        <v>1021125.6982630285</v>
      </c>
      <c r="Y110">
        <v>3</v>
      </c>
      <c r="Z110">
        <f t="shared" si="5"/>
        <v>-7.7887799280674918E-3</v>
      </c>
    </row>
    <row r="111" spans="1:26" x14ac:dyDescent="0.3">
      <c r="A111">
        <v>20220523</v>
      </c>
      <c r="B111" s="5">
        <v>44704</v>
      </c>
      <c r="C111">
        <v>686899.24720519886</v>
      </c>
      <c r="D111" s="4">
        <v>710229.70310000097</v>
      </c>
      <c r="E111" s="5">
        <v>44704</v>
      </c>
      <c r="F111" s="4">
        <v>20220523</v>
      </c>
      <c r="G111" s="5"/>
      <c r="H111" s="4">
        <v>796016.28255999996</v>
      </c>
      <c r="I111" s="4">
        <v>648908.83753999998</v>
      </c>
      <c r="J111" s="4">
        <v>554560.93897999998</v>
      </c>
      <c r="K111" s="4">
        <v>650827.73087999993</v>
      </c>
      <c r="L111" s="4">
        <v>712811.63014000002</v>
      </c>
      <c r="M111" s="4">
        <v>675862.54122000001</v>
      </c>
      <c r="N111" s="4">
        <v>894189.43093999999</v>
      </c>
      <c r="O111" s="4">
        <v>704816.08549999795</v>
      </c>
      <c r="P111" s="4">
        <v>811772.98093999806</v>
      </c>
      <c r="Q111" s="4">
        <v>1169571.2761635075</v>
      </c>
      <c r="R111" s="4">
        <v>0</v>
      </c>
      <c r="S111" s="4">
        <v>0</v>
      </c>
      <c r="T111">
        <f t="shared" si="3"/>
        <v>0</v>
      </c>
      <c r="U111">
        <f t="shared" si="4"/>
        <v>0</v>
      </c>
      <c r="V111">
        <v>1088818.5188</v>
      </c>
      <c r="W111">
        <v>0</v>
      </c>
      <c r="X111">
        <v>983086.77434794931</v>
      </c>
      <c r="Y111">
        <v>3</v>
      </c>
      <c r="Z111">
        <f t="shared" si="5"/>
        <v>-3.7251950450159846E-2</v>
      </c>
    </row>
    <row r="112" spans="1:26" x14ac:dyDescent="0.3">
      <c r="A112">
        <v>20220524</v>
      </c>
      <c r="B112" s="5">
        <v>44705</v>
      </c>
      <c r="C112">
        <v>689117.24487442442</v>
      </c>
      <c r="D112" s="4">
        <v>716710.74810000102</v>
      </c>
      <c r="E112" s="5">
        <v>44705</v>
      </c>
      <c r="F112" s="4">
        <v>20220524</v>
      </c>
      <c r="G112" s="5"/>
      <c r="H112" s="4">
        <v>814174.31109999993</v>
      </c>
      <c r="I112" s="4">
        <v>650848.54096000001</v>
      </c>
      <c r="J112" s="4">
        <v>567156.20020000008</v>
      </c>
      <c r="K112" s="4">
        <v>652776.17669999995</v>
      </c>
      <c r="L112" s="4">
        <v>718589.01572000002</v>
      </c>
      <c r="M112" s="4">
        <v>683282.23860000004</v>
      </c>
      <c r="N112" s="4">
        <v>906495.90613999998</v>
      </c>
      <c r="O112" s="4">
        <v>712810.20053999801</v>
      </c>
      <c r="P112" s="4">
        <v>828303.81731999794</v>
      </c>
      <c r="Q112" s="4">
        <v>1177590.3018067961</v>
      </c>
      <c r="R112" s="4">
        <v>1</v>
      </c>
      <c r="S112" s="4">
        <v>0</v>
      </c>
      <c r="T112">
        <f t="shared" si="3"/>
        <v>8019.0256432886235</v>
      </c>
      <c r="U112">
        <f t="shared" si="4"/>
        <v>-8018.0256432886235</v>
      </c>
      <c r="V112">
        <v>1088818.5188</v>
      </c>
      <c r="W112">
        <v>0</v>
      </c>
      <c r="X112">
        <v>1000554.5943192587</v>
      </c>
      <c r="Y112">
        <v>3</v>
      </c>
      <c r="Z112">
        <f t="shared" si="5"/>
        <v>1.7768339913732691E-2</v>
      </c>
    </row>
    <row r="113" spans="1:26" x14ac:dyDescent="0.3">
      <c r="A113">
        <v>20220525</v>
      </c>
      <c r="B113" s="5">
        <v>44706</v>
      </c>
      <c r="C113">
        <v>687783.80300559243</v>
      </c>
      <c r="D113" s="4">
        <v>716886.04410000099</v>
      </c>
      <c r="E113" s="5">
        <v>44706</v>
      </c>
      <c r="F113" s="4">
        <v>20220525</v>
      </c>
      <c r="G113" s="5"/>
      <c r="H113" s="4">
        <v>823786.83121999993</v>
      </c>
      <c r="I113" s="4">
        <v>660758.12571999803</v>
      </c>
      <c r="J113" s="4">
        <v>576386.49579999992</v>
      </c>
      <c r="K113" s="4">
        <v>658850.96424</v>
      </c>
      <c r="L113" s="4">
        <v>722300.09972000006</v>
      </c>
      <c r="M113" s="4">
        <v>690423.33857999998</v>
      </c>
      <c r="N113" s="4">
        <v>902293.90844000003</v>
      </c>
      <c r="O113" s="4">
        <v>720206.01999999792</v>
      </c>
      <c r="P113" s="4">
        <v>829653.04709999799</v>
      </c>
      <c r="Q113" s="4">
        <v>1179519.6202252163</v>
      </c>
      <c r="R113" s="4">
        <v>4</v>
      </c>
      <c r="S113" s="4">
        <v>0</v>
      </c>
      <c r="T113">
        <f t="shared" si="3"/>
        <v>1929.3184184201527</v>
      </c>
      <c r="U113">
        <f t="shared" si="4"/>
        <v>-1925.3184184201527</v>
      </c>
      <c r="V113">
        <v>1088818.5188</v>
      </c>
      <c r="W113">
        <v>0</v>
      </c>
      <c r="X113">
        <v>1002662.7856446295</v>
      </c>
      <c r="Y113">
        <v>3</v>
      </c>
      <c r="Z113">
        <f t="shared" si="5"/>
        <v>2.1070227825050786E-3</v>
      </c>
    </row>
    <row r="114" spans="1:26" x14ac:dyDescent="0.3">
      <c r="A114">
        <v>20220526</v>
      </c>
      <c r="B114" s="5">
        <v>44707</v>
      </c>
      <c r="C114">
        <v>688172.40085429058</v>
      </c>
      <c r="D114" s="4">
        <v>704441.17810000095</v>
      </c>
      <c r="E114" s="5">
        <v>44707</v>
      </c>
      <c r="F114" s="4">
        <v>20220526</v>
      </c>
      <c r="G114" s="5"/>
      <c r="H114" s="4">
        <v>813929.85893999995</v>
      </c>
      <c r="I114" s="4">
        <v>635635.315019998</v>
      </c>
      <c r="J114" s="4">
        <v>569618.43486000004</v>
      </c>
      <c r="K114" s="4">
        <v>652298.82016</v>
      </c>
      <c r="L114" s="4">
        <v>710033.48316000006</v>
      </c>
      <c r="M114" s="4">
        <v>683540.53541999997</v>
      </c>
      <c r="N114" s="4">
        <v>891933.90850000014</v>
      </c>
      <c r="O114" s="4">
        <v>713304.44499999797</v>
      </c>
      <c r="P114" s="4">
        <v>800012.722079998</v>
      </c>
      <c r="Q114" s="4">
        <v>1137299.3154384324</v>
      </c>
      <c r="R114" s="4">
        <v>4</v>
      </c>
      <c r="S114" s="4">
        <v>0</v>
      </c>
      <c r="T114">
        <f t="shared" si="3"/>
        <v>-42220.304786783876</v>
      </c>
      <c r="U114">
        <f t="shared" si="4"/>
        <v>42224.304786783876</v>
      </c>
      <c r="V114">
        <v>1049844.6764</v>
      </c>
      <c r="W114">
        <v>2</v>
      </c>
      <c r="X114">
        <v>959136.58234901947</v>
      </c>
      <c r="Y114">
        <v>3</v>
      </c>
      <c r="Z114">
        <f t="shared" si="5"/>
        <v>-4.3410610146088421E-2</v>
      </c>
    </row>
    <row r="115" spans="1:26" x14ac:dyDescent="0.3">
      <c r="A115">
        <v>20220527</v>
      </c>
      <c r="B115" s="5">
        <v>44708</v>
      </c>
      <c r="C115">
        <v>696429.09331974038</v>
      </c>
      <c r="D115" s="4">
        <v>718365.55400000105</v>
      </c>
      <c r="E115" s="5">
        <v>44708</v>
      </c>
      <c r="F115" s="4">
        <v>20220527</v>
      </c>
      <c r="G115" s="5"/>
      <c r="H115" s="4">
        <v>841816.62061999994</v>
      </c>
      <c r="I115" s="4">
        <v>648060.43339999998</v>
      </c>
      <c r="J115" s="4">
        <v>569863.46169999999</v>
      </c>
      <c r="K115" s="4">
        <v>665517.73699999996</v>
      </c>
      <c r="L115" s="4">
        <v>722990.67039999994</v>
      </c>
      <c r="M115" s="4">
        <v>696337.26162</v>
      </c>
      <c r="N115" s="4">
        <v>911372.77821999998</v>
      </c>
      <c r="O115" s="4">
        <v>716560.10587999807</v>
      </c>
      <c r="P115" s="4">
        <v>809855.30097999796</v>
      </c>
      <c r="Q115" s="4">
        <v>1151303.5938202695</v>
      </c>
      <c r="R115" s="4">
        <v>4</v>
      </c>
      <c r="S115" s="4">
        <v>0</v>
      </c>
      <c r="T115">
        <f t="shared" si="3"/>
        <v>14004.278381837066</v>
      </c>
      <c r="U115">
        <f t="shared" si="4"/>
        <v>-14000.278381837066</v>
      </c>
      <c r="V115">
        <v>1052306.3829999999</v>
      </c>
      <c r="W115">
        <v>1</v>
      </c>
      <c r="X115">
        <v>961385.59439000953</v>
      </c>
      <c r="Y115">
        <v>1</v>
      </c>
      <c r="Z115">
        <f t="shared" si="5"/>
        <v>2.3448298004461522E-3</v>
      </c>
    </row>
    <row r="116" spans="1:26" x14ac:dyDescent="0.3">
      <c r="A116">
        <v>20220530</v>
      </c>
      <c r="B116" s="5">
        <v>44711</v>
      </c>
      <c r="C116">
        <v>712625.9447430775</v>
      </c>
      <c r="D116" s="4">
        <v>729213.37820000097</v>
      </c>
      <c r="E116" s="5">
        <v>44711</v>
      </c>
      <c r="F116" s="4">
        <v>20220530</v>
      </c>
      <c r="G116" s="5"/>
      <c r="H116" s="4">
        <v>876970.4694399999</v>
      </c>
      <c r="I116" s="4">
        <v>655899.17004</v>
      </c>
      <c r="J116" s="4">
        <v>584232.02989999996</v>
      </c>
      <c r="K116" s="4">
        <v>678281.63808000006</v>
      </c>
      <c r="L116" s="4">
        <v>734467.46458000003</v>
      </c>
      <c r="M116" s="4">
        <v>706584.11443999992</v>
      </c>
      <c r="N116" s="4">
        <v>916629.37795999995</v>
      </c>
      <c r="O116" s="4">
        <v>721283.17743999802</v>
      </c>
      <c r="P116" s="4">
        <v>837969.48697999795</v>
      </c>
      <c r="Q116" s="4">
        <v>1151303.5938202695</v>
      </c>
      <c r="R116" s="4">
        <v>0</v>
      </c>
      <c r="S116" s="4">
        <v>0</v>
      </c>
      <c r="T116">
        <f t="shared" si="3"/>
        <v>0</v>
      </c>
      <c r="U116">
        <f t="shared" si="4"/>
        <v>0</v>
      </c>
      <c r="V116">
        <v>1059734.8746</v>
      </c>
      <c r="W116">
        <v>1</v>
      </c>
      <c r="X116">
        <v>968172.24186093372</v>
      </c>
      <c r="Y116">
        <v>1</v>
      </c>
      <c r="Z116">
        <f t="shared" si="5"/>
        <v>7.0592356599957738E-3</v>
      </c>
    </row>
    <row r="117" spans="1:26" x14ac:dyDescent="0.3">
      <c r="A117">
        <v>20220531</v>
      </c>
      <c r="B117" s="5">
        <v>44712</v>
      </c>
      <c r="C117">
        <v>719688.06785548141</v>
      </c>
      <c r="D117" s="4">
        <v>731202.65920000104</v>
      </c>
      <c r="E117" s="5">
        <v>44712</v>
      </c>
      <c r="F117" s="4">
        <v>20220531</v>
      </c>
      <c r="G117" s="5"/>
      <c r="H117" s="4">
        <v>859857.47478000005</v>
      </c>
      <c r="I117" s="4">
        <v>653796.18553999998</v>
      </c>
      <c r="J117" s="4">
        <v>577757.95270000002</v>
      </c>
      <c r="K117" s="4">
        <v>676554.43106000009</v>
      </c>
      <c r="L117" s="4">
        <v>738854.96658000001</v>
      </c>
      <c r="M117" s="4">
        <v>704183.10502000002</v>
      </c>
      <c r="N117" s="4">
        <v>920229.37276000006</v>
      </c>
      <c r="O117" s="4">
        <v>718457.45635999809</v>
      </c>
      <c r="P117" s="4">
        <v>836453.47165999806</v>
      </c>
      <c r="Q117" s="4">
        <v>1121224.8102645255</v>
      </c>
      <c r="R117" s="4">
        <v>1</v>
      </c>
      <c r="S117" s="4">
        <v>0</v>
      </c>
      <c r="T117">
        <f t="shared" si="3"/>
        <v>-30078.783555743983</v>
      </c>
      <c r="U117">
        <f t="shared" si="4"/>
        <v>30079.783555743983</v>
      </c>
      <c r="V117">
        <v>1032049.7922</v>
      </c>
      <c r="W117">
        <v>1</v>
      </c>
      <c r="X117">
        <v>942877.76872219844</v>
      </c>
      <c r="Y117">
        <v>1</v>
      </c>
      <c r="Z117">
        <f t="shared" si="5"/>
        <v>-2.612600531710816E-2</v>
      </c>
    </row>
    <row r="118" spans="1:26" x14ac:dyDescent="0.3">
      <c r="A118">
        <v>20220601</v>
      </c>
      <c r="B118" s="5">
        <v>44713</v>
      </c>
      <c r="C118">
        <v>728357.4303208685</v>
      </c>
      <c r="D118" s="4">
        <v>759126.26080000098</v>
      </c>
      <c r="E118" s="5">
        <v>44713</v>
      </c>
      <c r="F118" s="4">
        <v>20220601</v>
      </c>
      <c r="G118" s="5"/>
      <c r="H118" s="4">
        <v>884800.78051999991</v>
      </c>
      <c r="I118" s="4">
        <v>679299.62485999998</v>
      </c>
      <c r="J118" s="4">
        <v>608050.07747999998</v>
      </c>
      <c r="K118" s="4">
        <v>702318.20475999999</v>
      </c>
      <c r="L118" s="4">
        <v>768609.63404000003</v>
      </c>
      <c r="M118" s="4">
        <v>735296.13969999994</v>
      </c>
      <c r="N118" s="4">
        <v>962731.39030000009</v>
      </c>
      <c r="O118" s="4">
        <v>745024.58939999796</v>
      </c>
      <c r="P118" s="4">
        <v>877590.401859998</v>
      </c>
      <c r="Q118" s="4">
        <v>1178121.8414854661</v>
      </c>
      <c r="R118" s="4">
        <v>1</v>
      </c>
      <c r="S118" s="4">
        <v>0</v>
      </c>
      <c r="T118">
        <f t="shared" si="3"/>
        <v>56897.03122094064</v>
      </c>
      <c r="U118">
        <f t="shared" si="4"/>
        <v>-56896.03122094064</v>
      </c>
      <c r="V118">
        <v>1032049.7922</v>
      </c>
      <c r="W118">
        <v>0</v>
      </c>
      <c r="X118">
        <v>990724.64291714958</v>
      </c>
      <c r="Y118">
        <v>1</v>
      </c>
      <c r="Z118">
        <f t="shared" si="5"/>
        <v>5.0745574646217317E-2</v>
      </c>
    </row>
    <row r="119" spans="1:26" x14ac:dyDescent="0.3">
      <c r="A119">
        <v>20220602</v>
      </c>
      <c r="B119" s="5">
        <v>44714</v>
      </c>
      <c r="C119">
        <v>756909.0415894466</v>
      </c>
      <c r="D119" s="4">
        <v>778563.43980000098</v>
      </c>
      <c r="E119" s="5">
        <v>44714</v>
      </c>
      <c r="G119" s="5"/>
      <c r="H119" s="4">
        <v>904295.05336000002</v>
      </c>
      <c r="I119" s="4">
        <v>687623.78423999797</v>
      </c>
      <c r="J119" s="4">
        <v>620193.21328000003</v>
      </c>
      <c r="K119" s="4">
        <v>723860.71875999996</v>
      </c>
      <c r="L119" s="4">
        <v>789198.67018000002</v>
      </c>
      <c r="M119" s="4">
        <v>758559.25618000003</v>
      </c>
      <c r="N119" s="4">
        <v>985952.14714000002</v>
      </c>
      <c r="O119" s="4">
        <v>769377.59911999793</v>
      </c>
      <c r="P119" s="4">
        <v>908987.43375999795</v>
      </c>
      <c r="Q119" s="4">
        <v>1233958.1032495631</v>
      </c>
      <c r="R119" s="4">
        <v>1</v>
      </c>
      <c r="S119" s="4">
        <v>0</v>
      </c>
      <c r="T119">
        <f t="shared" si="3"/>
        <v>55836.261764097027</v>
      </c>
      <c r="U119">
        <f t="shared" si="4"/>
        <v>-55835.261764097027</v>
      </c>
      <c r="V119">
        <v>1069131.9146</v>
      </c>
      <c r="W119">
        <v>2</v>
      </c>
      <c r="X119">
        <v>1037679.402979265</v>
      </c>
      <c r="Y119">
        <v>1</v>
      </c>
      <c r="Z119">
        <f t="shared" si="5"/>
        <v>4.7394359671784229E-2</v>
      </c>
    </row>
    <row r="120" spans="1:26" x14ac:dyDescent="0.3">
      <c r="A120">
        <v>20220606</v>
      </c>
      <c r="B120" s="5">
        <v>44718</v>
      </c>
      <c r="C120">
        <v>756887.09122724051</v>
      </c>
      <c r="D120" s="4">
        <v>772330.21180000098</v>
      </c>
      <c r="E120" s="5">
        <v>44718</v>
      </c>
      <c r="F120" s="4">
        <v>20220606</v>
      </c>
      <c r="G120" s="5"/>
      <c r="H120" s="4">
        <v>882158.01065999991</v>
      </c>
      <c r="I120" s="4">
        <v>680104.38315999799</v>
      </c>
      <c r="J120" s="4">
        <v>609517.90360000008</v>
      </c>
      <c r="K120" s="4">
        <v>710866.58771999995</v>
      </c>
      <c r="L120" s="4">
        <v>782354.71860000002</v>
      </c>
      <c r="M120" s="4">
        <v>751148.48777999997</v>
      </c>
      <c r="N120" s="4">
        <v>991642.98893999995</v>
      </c>
      <c r="O120" s="4">
        <v>759829.63607999799</v>
      </c>
      <c r="P120" s="4">
        <v>910040.6101999979</v>
      </c>
      <c r="Q120" s="4">
        <v>1233958.1032495631</v>
      </c>
      <c r="R120" s="4">
        <v>0</v>
      </c>
      <c r="S120" s="4">
        <v>0</v>
      </c>
      <c r="T120">
        <f t="shared" si="3"/>
        <v>0</v>
      </c>
      <c r="U120">
        <f t="shared" si="4"/>
        <v>0</v>
      </c>
      <c r="V120">
        <v>1070396.3825999999</v>
      </c>
      <c r="W120">
        <v>3</v>
      </c>
      <c r="X120">
        <v>1043442.674915702</v>
      </c>
      <c r="Y120">
        <v>1</v>
      </c>
      <c r="Z120">
        <f t="shared" si="5"/>
        <v>5.5540005129620573E-3</v>
      </c>
    </row>
    <row r="121" spans="1:26" x14ac:dyDescent="0.3">
      <c r="A121">
        <v>20220607</v>
      </c>
      <c r="B121" s="5">
        <v>44719</v>
      </c>
      <c r="C121">
        <v>763307.00753503002</v>
      </c>
      <c r="D121" s="4">
        <v>766156.59910000104</v>
      </c>
      <c r="E121" s="5">
        <v>44719</v>
      </c>
      <c r="F121" s="4">
        <v>20220607</v>
      </c>
      <c r="G121" s="5"/>
      <c r="H121" s="4">
        <v>884318.22144000011</v>
      </c>
      <c r="I121" s="4">
        <v>678382.09471999796</v>
      </c>
      <c r="J121" s="4">
        <v>602275.74806000001</v>
      </c>
      <c r="K121" s="4">
        <v>702864.28371999995</v>
      </c>
      <c r="L121" s="4">
        <v>775448.24107999995</v>
      </c>
      <c r="M121" s="4">
        <v>745342.62281999993</v>
      </c>
      <c r="N121" s="4">
        <v>980686.91486000014</v>
      </c>
      <c r="O121" s="4">
        <v>751987.78595999791</v>
      </c>
      <c r="P121" s="4">
        <v>883629.16395999806</v>
      </c>
      <c r="Q121" s="4">
        <v>1233958.1032495631</v>
      </c>
      <c r="R121" s="4">
        <v>0</v>
      </c>
      <c r="S121" s="4">
        <v>0</v>
      </c>
      <c r="T121">
        <f t="shared" si="3"/>
        <v>0</v>
      </c>
      <c r="U121">
        <f t="shared" si="4"/>
        <v>0</v>
      </c>
      <c r="V121">
        <v>1070396.3825999999</v>
      </c>
      <c r="W121">
        <v>0</v>
      </c>
      <c r="X121">
        <v>1012945.3449289296</v>
      </c>
      <c r="Y121">
        <v>1</v>
      </c>
      <c r="Z121">
        <f t="shared" si="5"/>
        <v>-2.9227604659006506E-2</v>
      </c>
    </row>
    <row r="122" spans="1:26" x14ac:dyDescent="0.3">
      <c r="A122">
        <v>20220608</v>
      </c>
      <c r="B122" s="5">
        <v>44720</v>
      </c>
      <c r="C122">
        <v>740739.07255024929</v>
      </c>
      <c r="D122" s="4">
        <v>745572.35350000102</v>
      </c>
      <c r="E122" s="5">
        <v>44720</v>
      </c>
      <c r="F122" s="4">
        <v>20220608</v>
      </c>
      <c r="G122" s="5"/>
      <c r="H122" s="4">
        <v>872820.85265999998</v>
      </c>
      <c r="I122" s="4">
        <v>654753.89577999804</v>
      </c>
      <c r="J122" s="4">
        <v>596321.68651999999</v>
      </c>
      <c r="K122" s="4">
        <v>685428.76327999996</v>
      </c>
      <c r="L122" s="4">
        <v>753968.91975999996</v>
      </c>
      <c r="M122" s="4">
        <v>726769.46851999999</v>
      </c>
      <c r="N122" s="4">
        <v>947325.56483999989</v>
      </c>
      <c r="O122" s="4">
        <v>731922.96181999799</v>
      </c>
      <c r="P122" s="4">
        <v>860455.13865999808</v>
      </c>
      <c r="Q122" s="4">
        <v>1201532.995130393</v>
      </c>
      <c r="R122" s="4">
        <v>4</v>
      </c>
      <c r="S122" s="4">
        <v>0</v>
      </c>
      <c r="T122">
        <f t="shared" si="3"/>
        <v>-32425.108119170181</v>
      </c>
      <c r="U122">
        <f t="shared" si="4"/>
        <v>32429.108119170181</v>
      </c>
      <c r="V122">
        <v>1003970.6767999999</v>
      </c>
      <c r="W122">
        <v>1</v>
      </c>
      <c r="X122">
        <v>950084.64984429651</v>
      </c>
      <c r="Y122">
        <v>1</v>
      </c>
      <c r="Z122">
        <f t="shared" si="5"/>
        <v>-6.2057341394903702E-2</v>
      </c>
    </row>
    <row r="123" spans="1:26" x14ac:dyDescent="0.3">
      <c r="A123">
        <v>20220609</v>
      </c>
      <c r="B123" s="5">
        <v>44721</v>
      </c>
      <c r="C123">
        <v>757397.55355283187</v>
      </c>
      <c r="D123" s="4">
        <v>762007.75050000101</v>
      </c>
      <c r="E123" s="5">
        <v>44721</v>
      </c>
      <c r="F123" s="4">
        <v>20220609</v>
      </c>
      <c r="G123" s="5"/>
      <c r="H123" s="4">
        <v>889676.80921999994</v>
      </c>
      <c r="I123" s="4">
        <v>669755.95469999802</v>
      </c>
      <c r="J123" s="4">
        <v>605896.71889999998</v>
      </c>
      <c r="K123" s="4">
        <v>699412.46250000002</v>
      </c>
      <c r="L123" s="4">
        <v>771995.29409999994</v>
      </c>
      <c r="M123" s="4">
        <v>742371.6531</v>
      </c>
      <c r="N123" s="4">
        <v>968745.33189999999</v>
      </c>
      <c r="O123" s="4">
        <v>741716.35503999796</v>
      </c>
      <c r="P123" s="4">
        <v>883197.72467999789</v>
      </c>
      <c r="Q123" s="4">
        <v>1242967.1077868359</v>
      </c>
      <c r="R123" s="4">
        <v>3</v>
      </c>
      <c r="S123" s="4">
        <v>0</v>
      </c>
      <c r="T123">
        <f t="shared" si="3"/>
        <v>41434.112656442914</v>
      </c>
      <c r="U123">
        <f t="shared" si="4"/>
        <v>-41431.112656442914</v>
      </c>
      <c r="V123">
        <v>1050509.5728</v>
      </c>
      <c r="W123">
        <v>2</v>
      </c>
      <c r="X123">
        <v>982847.42446152656</v>
      </c>
      <c r="Y123">
        <v>3</v>
      </c>
      <c r="Z123">
        <f t="shared" si="5"/>
        <v>3.4484058470578748E-2</v>
      </c>
    </row>
    <row r="124" spans="1:26" x14ac:dyDescent="0.3">
      <c r="A124">
        <v>20220610</v>
      </c>
      <c r="B124" s="5">
        <v>44722</v>
      </c>
      <c r="C124">
        <v>754427.04034779768</v>
      </c>
      <c r="D124" s="4">
        <v>771617.41990000103</v>
      </c>
      <c r="E124" s="5">
        <v>44722</v>
      </c>
      <c r="F124" s="4">
        <v>20220610</v>
      </c>
      <c r="G124" s="5"/>
      <c r="H124" s="4">
        <v>887696.06415999995</v>
      </c>
      <c r="I124" s="4">
        <v>667160.48281999794</v>
      </c>
      <c r="J124" s="4">
        <v>620571.04982000007</v>
      </c>
      <c r="K124" s="4">
        <v>710038.75453999999</v>
      </c>
      <c r="L124" s="4">
        <v>783787.66792000004</v>
      </c>
      <c r="M124" s="4">
        <v>745679.42391999997</v>
      </c>
      <c r="N124" s="4">
        <v>969694.06070000003</v>
      </c>
      <c r="O124" s="4">
        <v>748011.27907999803</v>
      </c>
      <c r="P124" s="4">
        <v>926947.91331999807</v>
      </c>
      <c r="Q124" s="4">
        <v>1306645.6459903689</v>
      </c>
      <c r="R124" s="4">
        <v>3</v>
      </c>
      <c r="S124" s="4">
        <v>0</v>
      </c>
      <c r="T124">
        <f t="shared" si="3"/>
        <v>63678.53820353304</v>
      </c>
      <c r="U124">
        <f t="shared" si="4"/>
        <v>-63675.53820353304</v>
      </c>
      <c r="V124">
        <v>1092669.585</v>
      </c>
      <c r="W124">
        <v>2</v>
      </c>
      <c r="X124">
        <v>1033198.2184498305</v>
      </c>
      <c r="Y124">
        <v>3</v>
      </c>
      <c r="Z124">
        <f t="shared" si="5"/>
        <v>5.1229512063777051E-2</v>
      </c>
    </row>
    <row r="125" spans="1:26" x14ac:dyDescent="0.3">
      <c r="A125">
        <v>20220613</v>
      </c>
      <c r="B125" s="5">
        <v>44725</v>
      </c>
      <c r="C125">
        <v>754955.89370308153</v>
      </c>
      <c r="D125" s="4">
        <v>786226.883800001</v>
      </c>
      <c r="E125" s="5">
        <v>44725</v>
      </c>
      <c r="F125" s="4">
        <v>20220613</v>
      </c>
      <c r="G125" s="5"/>
      <c r="H125" s="4">
        <v>946945.04856000002</v>
      </c>
      <c r="I125" s="4">
        <v>688000.47455999791</v>
      </c>
      <c r="J125" s="4">
        <v>618900.44643999997</v>
      </c>
      <c r="K125" s="4">
        <v>763584.23462</v>
      </c>
      <c r="L125" s="4">
        <v>799741.72757999995</v>
      </c>
      <c r="M125" s="4">
        <v>762702.15691999998</v>
      </c>
      <c r="N125" s="4">
        <v>968910.59570000006</v>
      </c>
      <c r="O125" s="4">
        <v>766515.07015999802</v>
      </c>
      <c r="P125" s="4">
        <v>955366.258099998</v>
      </c>
      <c r="Q125" s="4">
        <v>1306645.6459903689</v>
      </c>
      <c r="R125" s="4">
        <v>0</v>
      </c>
      <c r="S125" s="4">
        <v>0</v>
      </c>
      <c r="T125">
        <f t="shared" si="3"/>
        <v>0</v>
      </c>
      <c r="U125">
        <f t="shared" si="4"/>
        <v>0</v>
      </c>
      <c r="V125">
        <v>1084801.8642000002</v>
      </c>
      <c r="W125">
        <v>2</v>
      </c>
      <c r="X125">
        <v>1066412.0694247326</v>
      </c>
      <c r="Y125">
        <v>3</v>
      </c>
      <c r="Z125">
        <f t="shared" si="5"/>
        <v>3.2146639804252454E-2</v>
      </c>
    </row>
    <row r="126" spans="1:26" x14ac:dyDescent="0.3">
      <c r="A126">
        <v>20220614</v>
      </c>
      <c r="B126" s="5">
        <v>44726</v>
      </c>
      <c r="C126">
        <v>762875.38102802692</v>
      </c>
      <c r="D126" s="4">
        <v>777728.53430000099</v>
      </c>
      <c r="E126" s="5">
        <v>44726</v>
      </c>
      <c r="F126" s="4">
        <v>20220614</v>
      </c>
      <c r="G126" s="5"/>
      <c r="H126" s="4">
        <v>927228.38092000003</v>
      </c>
      <c r="I126" s="4">
        <v>681037.90023999801</v>
      </c>
      <c r="J126" s="4">
        <v>610503.81648000004</v>
      </c>
      <c r="K126" s="4">
        <v>757651.98823999998</v>
      </c>
      <c r="L126" s="4">
        <v>790360.74835999997</v>
      </c>
      <c r="M126" s="4">
        <v>755213.94088000001</v>
      </c>
      <c r="N126" s="4">
        <v>962486.80267999996</v>
      </c>
      <c r="O126" s="4">
        <v>750664.33371999802</v>
      </c>
      <c r="P126" s="4">
        <v>951276.37221999804</v>
      </c>
      <c r="Q126" s="4">
        <v>1253161.3596439462</v>
      </c>
      <c r="R126" s="4">
        <v>1</v>
      </c>
      <c r="S126" s="4">
        <v>0</v>
      </c>
      <c r="T126">
        <f t="shared" si="3"/>
        <v>-53484.286346422741</v>
      </c>
      <c r="U126">
        <f t="shared" si="4"/>
        <v>53485.286346422741</v>
      </c>
      <c r="V126">
        <v>1078508.4905999999</v>
      </c>
      <c r="W126">
        <v>2</v>
      </c>
      <c r="X126">
        <v>1062391.5500731617</v>
      </c>
      <c r="Y126">
        <v>3</v>
      </c>
      <c r="Z126">
        <f t="shared" si="5"/>
        <v>-3.770136766868837E-3</v>
      </c>
    </row>
    <row r="127" spans="1:26" x14ac:dyDescent="0.3">
      <c r="A127">
        <v>20220615</v>
      </c>
      <c r="B127" s="5">
        <v>44727</v>
      </c>
      <c r="C127">
        <v>765939.85143361636</v>
      </c>
      <c r="D127" s="4">
        <v>794111.99010000098</v>
      </c>
      <c r="E127" s="5">
        <v>44727</v>
      </c>
      <c r="F127" s="4">
        <v>20220615</v>
      </c>
      <c r="G127" s="5"/>
      <c r="H127" s="4">
        <v>946328.69071999996</v>
      </c>
      <c r="I127" s="4">
        <v>696269.80083999806</v>
      </c>
      <c r="J127" s="4">
        <v>628075.35384</v>
      </c>
      <c r="K127" s="4">
        <v>776535.13405999995</v>
      </c>
      <c r="L127" s="4">
        <v>807767.60227999999</v>
      </c>
      <c r="M127" s="4">
        <v>771778.42093999998</v>
      </c>
      <c r="N127" s="4">
        <v>959122.40074000007</v>
      </c>
      <c r="O127" s="4">
        <v>782349.54889999796</v>
      </c>
      <c r="P127" s="4">
        <v>970615.2478399981</v>
      </c>
      <c r="Q127" s="4">
        <v>1278699.5278252563</v>
      </c>
      <c r="R127" s="4">
        <v>4</v>
      </c>
      <c r="S127" s="4">
        <v>0</v>
      </c>
      <c r="T127">
        <f t="shared" si="3"/>
        <v>25538.168181310175</v>
      </c>
      <c r="U127">
        <f t="shared" si="4"/>
        <v>-25534.168181310175</v>
      </c>
      <c r="V127">
        <v>1081566.0545999999</v>
      </c>
      <c r="W127">
        <v>2</v>
      </c>
      <c r="X127">
        <v>1075472.8623138268</v>
      </c>
      <c r="Y127">
        <v>3</v>
      </c>
      <c r="Z127">
        <f t="shared" si="5"/>
        <v>1.2313080087811536E-2</v>
      </c>
    </row>
    <row r="128" spans="1:26" x14ac:dyDescent="0.3">
      <c r="A128">
        <v>20220616</v>
      </c>
      <c r="B128" s="5">
        <v>44728</v>
      </c>
      <c r="C128">
        <v>787180.89539357345</v>
      </c>
      <c r="D128" s="4">
        <v>810411.87420000101</v>
      </c>
      <c r="E128" s="5">
        <v>44728</v>
      </c>
      <c r="F128" s="4">
        <v>20220616</v>
      </c>
      <c r="G128" s="5"/>
      <c r="H128" s="4">
        <v>948260.20818000007</v>
      </c>
      <c r="I128" s="4">
        <v>711839.16243999801</v>
      </c>
      <c r="J128" s="4">
        <v>638430.95548</v>
      </c>
      <c r="K128" s="4">
        <v>793756.17253999994</v>
      </c>
      <c r="L128" s="4">
        <v>825206.04550000001</v>
      </c>
      <c r="M128" s="4">
        <v>786432.26312000002</v>
      </c>
      <c r="N128" s="4">
        <v>974756.18834000011</v>
      </c>
      <c r="O128" s="4">
        <v>783937.96443999803</v>
      </c>
      <c r="P128" s="4">
        <v>1030143.875679998</v>
      </c>
      <c r="Q128" s="4">
        <v>1357327.3440180961</v>
      </c>
      <c r="R128" s="4">
        <v>3</v>
      </c>
      <c r="S128" s="4">
        <v>0</v>
      </c>
      <c r="T128">
        <f t="shared" si="3"/>
        <v>78627.81619283976</v>
      </c>
      <c r="U128">
        <f t="shared" si="4"/>
        <v>-78624.81619283976</v>
      </c>
      <c r="V128">
        <v>1173385.6416</v>
      </c>
      <c r="W128">
        <v>2</v>
      </c>
      <c r="X128">
        <v>1141604.0414625383</v>
      </c>
      <c r="Y128">
        <v>3</v>
      </c>
      <c r="Z128">
        <f t="shared" si="5"/>
        <v>6.1490328083624098E-2</v>
      </c>
    </row>
    <row r="129" spans="1:26" x14ac:dyDescent="0.3">
      <c r="A129">
        <v>20220617</v>
      </c>
      <c r="B129" s="5">
        <v>44729</v>
      </c>
      <c r="C129">
        <v>802848.15675459174</v>
      </c>
      <c r="D129" s="4">
        <v>819417.22900000098</v>
      </c>
      <c r="E129" s="5">
        <v>44729</v>
      </c>
      <c r="F129" s="4">
        <v>20220617</v>
      </c>
      <c r="G129" s="5"/>
      <c r="H129" s="4">
        <v>954957.09859999991</v>
      </c>
      <c r="I129" s="4">
        <v>735828.54059999797</v>
      </c>
      <c r="J129" s="4">
        <v>655256.26601999998</v>
      </c>
      <c r="K129" s="4">
        <v>796161.02278</v>
      </c>
      <c r="L129" s="4">
        <v>836226.24400000006</v>
      </c>
      <c r="M129" s="4">
        <v>795837.33459999994</v>
      </c>
      <c r="N129" s="4">
        <v>980153.0932</v>
      </c>
      <c r="O129" s="4">
        <v>797007.65341999801</v>
      </c>
      <c r="P129" s="4">
        <v>1059276.3194399981</v>
      </c>
      <c r="Q129" s="4">
        <v>1387106.4368655097</v>
      </c>
      <c r="R129" s="4">
        <v>3</v>
      </c>
      <c r="S129" s="4">
        <v>0</v>
      </c>
      <c r="T129">
        <f t="shared" si="3"/>
        <v>29779.092847413616</v>
      </c>
      <c r="U129">
        <f t="shared" si="4"/>
        <v>-29776.092847413616</v>
      </c>
      <c r="V129">
        <v>1193273.5475999999</v>
      </c>
      <c r="W129">
        <v>1</v>
      </c>
      <c r="X129">
        <v>1166650.0070955399</v>
      </c>
      <c r="Y129">
        <v>3</v>
      </c>
      <c r="Z129">
        <f t="shared" si="5"/>
        <v>2.1939275548564643E-2</v>
      </c>
    </row>
    <row r="130" spans="1:26" x14ac:dyDescent="0.3">
      <c r="A130">
        <v>20220620</v>
      </c>
      <c r="B130" s="5">
        <v>44732</v>
      </c>
      <c r="C130">
        <v>797753.28235182702</v>
      </c>
      <c r="D130" s="4">
        <v>811773.62010000099</v>
      </c>
      <c r="E130" s="5">
        <v>44732</v>
      </c>
      <c r="F130" s="4">
        <v>20220620</v>
      </c>
      <c r="G130" s="5"/>
      <c r="H130" s="4">
        <v>935842.52146000008</v>
      </c>
      <c r="I130" s="4">
        <v>734001.68545999797</v>
      </c>
      <c r="J130" s="4">
        <v>645127.09336000006</v>
      </c>
      <c r="K130" s="4">
        <v>792250.09562000004</v>
      </c>
      <c r="L130" s="4">
        <v>827705.95285999996</v>
      </c>
      <c r="M130" s="4">
        <v>787574.67735999997</v>
      </c>
      <c r="N130" s="4">
        <v>965629.14439999999</v>
      </c>
      <c r="O130" s="4">
        <v>786586.13207999803</v>
      </c>
      <c r="P130" s="4">
        <v>1049952.450299998</v>
      </c>
      <c r="Q130" s="4">
        <v>1387106.4368655097</v>
      </c>
      <c r="R130" s="4">
        <v>0</v>
      </c>
      <c r="S130" s="4">
        <v>0</v>
      </c>
      <c r="T130">
        <f t="shared" si="3"/>
        <v>0</v>
      </c>
      <c r="U130">
        <f t="shared" si="4"/>
        <v>0</v>
      </c>
      <c r="V130">
        <v>1182711.6778000002</v>
      </c>
      <c r="W130">
        <v>3</v>
      </c>
      <c r="X130">
        <v>1155920.9912591774</v>
      </c>
      <c r="Y130">
        <v>3</v>
      </c>
      <c r="Z130">
        <f t="shared" si="5"/>
        <v>-9.1964306099591598E-3</v>
      </c>
    </row>
    <row r="131" spans="1:26" x14ac:dyDescent="0.3">
      <c r="A131">
        <v>20220621</v>
      </c>
      <c r="B131" s="5">
        <v>44733</v>
      </c>
      <c r="C131">
        <v>793089.61666319834</v>
      </c>
      <c r="D131" s="4">
        <v>816930.99500000104</v>
      </c>
      <c r="E131" s="5">
        <v>44733</v>
      </c>
      <c r="F131" s="4">
        <v>20220621</v>
      </c>
      <c r="G131" s="5"/>
      <c r="H131" s="4">
        <v>914442.5687200001</v>
      </c>
      <c r="I131" s="4">
        <v>726609.08931999805</v>
      </c>
      <c r="J131" s="4">
        <v>639084.87312</v>
      </c>
      <c r="K131" s="4">
        <v>779602.76769999997</v>
      </c>
      <c r="L131" s="4">
        <v>832387.45262</v>
      </c>
      <c r="M131" s="4">
        <v>796202.48497999995</v>
      </c>
      <c r="N131" s="4">
        <v>957558.28487999993</v>
      </c>
      <c r="O131" s="4">
        <v>803933.970719998</v>
      </c>
      <c r="P131" s="4">
        <v>1068161.3220599978</v>
      </c>
      <c r="Q131" s="4">
        <v>1387106.4368655097</v>
      </c>
      <c r="R131" s="4">
        <v>0</v>
      </c>
      <c r="S131" s="4">
        <v>0</v>
      </c>
      <c r="T131">
        <f t="shared" si="3"/>
        <v>0</v>
      </c>
      <c r="U131">
        <f t="shared" si="4"/>
        <v>0</v>
      </c>
      <c r="V131">
        <v>1203358.7676000001</v>
      </c>
      <c r="W131">
        <v>4</v>
      </c>
      <c r="X131">
        <v>1191741.870598024</v>
      </c>
      <c r="Y131">
        <v>3</v>
      </c>
      <c r="Z131">
        <f t="shared" si="5"/>
        <v>3.0989037840575804E-2</v>
      </c>
    </row>
    <row r="132" spans="1:26" x14ac:dyDescent="0.3">
      <c r="A132">
        <v>20220622</v>
      </c>
      <c r="B132" s="5">
        <v>44734</v>
      </c>
      <c r="C132">
        <v>817609.5683415744</v>
      </c>
      <c r="D132" s="4">
        <v>853976.88740000105</v>
      </c>
      <c r="E132" s="5">
        <v>44734</v>
      </c>
      <c r="F132" s="4">
        <v>20220622</v>
      </c>
      <c r="G132" s="5"/>
      <c r="H132" s="4">
        <v>950563.79132000008</v>
      </c>
      <c r="I132" s="4">
        <v>759228.67881999793</v>
      </c>
      <c r="J132" s="4">
        <v>662438.21964000002</v>
      </c>
      <c r="K132" s="4">
        <v>789797.04623999994</v>
      </c>
      <c r="L132" s="4">
        <v>872108.02371999994</v>
      </c>
      <c r="M132" s="4">
        <v>832932.21901999996</v>
      </c>
      <c r="N132" s="4">
        <v>993313.26020000002</v>
      </c>
      <c r="O132" s="4">
        <v>832231.42607999803</v>
      </c>
      <c r="P132" s="4">
        <v>1129613.3022799981</v>
      </c>
      <c r="Q132" s="4">
        <v>1467268.0061110319</v>
      </c>
      <c r="R132" s="4">
        <v>4</v>
      </c>
      <c r="S132" s="4">
        <v>0</v>
      </c>
      <c r="T132">
        <f t="shared" ref="T132:T195" si="6">Q132-Q131</f>
        <v>80161.569245522143</v>
      </c>
      <c r="U132">
        <f t="shared" ref="U132:U195" si="7">R132-T132</f>
        <v>-80157.569245522143</v>
      </c>
      <c r="V132">
        <v>1272900.0998</v>
      </c>
      <c r="W132">
        <v>2</v>
      </c>
      <c r="X132">
        <v>1238208.1300499262</v>
      </c>
      <c r="Y132">
        <v>3</v>
      </c>
      <c r="Z132">
        <f t="shared" ref="Z132:Z195" si="8">(X132-X131)/X131</f>
        <v>3.8990204672917264E-2</v>
      </c>
    </row>
    <row r="133" spans="1:26" x14ac:dyDescent="0.3">
      <c r="A133">
        <v>20220623</v>
      </c>
      <c r="B133" s="5">
        <v>44735</v>
      </c>
      <c r="C133">
        <v>836654.96562652302</v>
      </c>
      <c r="D133" s="4">
        <v>855318.576100001</v>
      </c>
      <c r="E133" s="5">
        <v>44735</v>
      </c>
      <c r="F133" s="4">
        <v>20220623</v>
      </c>
      <c r="G133" s="5"/>
      <c r="H133" s="4">
        <v>945217.39679999999</v>
      </c>
      <c r="I133" s="4">
        <v>765522.76021999796</v>
      </c>
      <c r="J133" s="4">
        <v>676013.62344</v>
      </c>
      <c r="K133" s="4">
        <v>789911.60832</v>
      </c>
      <c r="L133" s="4">
        <v>872890.02917999995</v>
      </c>
      <c r="M133" s="4">
        <v>831439.84256000002</v>
      </c>
      <c r="N133" s="4">
        <v>981893.70182000007</v>
      </c>
      <c r="O133" s="4">
        <v>825145.36973999802</v>
      </c>
      <c r="P133" s="4">
        <v>1116954.9403999981</v>
      </c>
      <c r="Q133" s="4">
        <v>1468359.1763114058</v>
      </c>
      <c r="R133" s="4">
        <v>1</v>
      </c>
      <c r="S133" s="4">
        <v>0</v>
      </c>
      <c r="T133">
        <f t="shared" si="6"/>
        <v>1091.1702003739774</v>
      </c>
      <c r="U133">
        <f t="shared" si="7"/>
        <v>-1090.1702003739774</v>
      </c>
      <c r="V133">
        <v>1254733.9974</v>
      </c>
      <c r="W133">
        <v>4</v>
      </c>
      <c r="X133">
        <v>1211396.5398067208</v>
      </c>
      <c r="Y133">
        <v>3</v>
      </c>
      <c r="Z133">
        <f t="shared" si="8"/>
        <v>-2.1653540784071858E-2</v>
      </c>
    </row>
    <row r="134" spans="1:26" x14ac:dyDescent="0.3">
      <c r="A134">
        <v>20220624</v>
      </c>
      <c r="B134" s="5">
        <v>44736</v>
      </c>
      <c r="C134">
        <v>838465.48697213875</v>
      </c>
      <c r="D134" s="4">
        <v>863888.65970000101</v>
      </c>
      <c r="E134" s="5">
        <v>44736</v>
      </c>
      <c r="F134" s="4">
        <v>20220624</v>
      </c>
      <c r="G134" s="5"/>
      <c r="H134" s="4">
        <v>945916.9927200001</v>
      </c>
      <c r="I134" s="4">
        <v>779102.81919999805</v>
      </c>
      <c r="J134" s="4">
        <v>699505.96019999997</v>
      </c>
      <c r="K134" s="4">
        <v>810450.29822</v>
      </c>
      <c r="L134" s="4">
        <v>882235.69578000007</v>
      </c>
      <c r="M134" s="4">
        <v>836799.14677999995</v>
      </c>
      <c r="N134" s="4">
        <v>999393.75801999995</v>
      </c>
      <c r="O134" s="4">
        <v>843679.69511999807</v>
      </c>
      <c r="P134" s="4">
        <v>1110891.1726399981</v>
      </c>
      <c r="Q134" s="4">
        <v>1441316.7342628802</v>
      </c>
      <c r="R134" s="4">
        <v>1</v>
      </c>
      <c r="S134" s="4">
        <v>0</v>
      </c>
      <c r="T134">
        <f t="shared" si="6"/>
        <v>-27042.442048525671</v>
      </c>
      <c r="U134">
        <f t="shared" si="7"/>
        <v>27043.442048525671</v>
      </c>
      <c r="V134">
        <v>1252705.6735999999</v>
      </c>
      <c r="W134">
        <v>2</v>
      </c>
      <c r="X134">
        <v>1200846.2622027835</v>
      </c>
      <c r="Y134">
        <v>3</v>
      </c>
      <c r="Z134">
        <f t="shared" si="8"/>
        <v>-8.7091858505891212E-3</v>
      </c>
    </row>
    <row r="135" spans="1:26" x14ac:dyDescent="0.3">
      <c r="A135">
        <v>20220627</v>
      </c>
      <c r="B135" s="5">
        <v>44739</v>
      </c>
      <c r="C135">
        <v>841361.5467641406</v>
      </c>
      <c r="D135" s="4">
        <v>867464.05010000104</v>
      </c>
      <c r="E135" s="5">
        <v>44739</v>
      </c>
      <c r="F135" s="4">
        <v>20220627</v>
      </c>
      <c r="G135" s="5"/>
      <c r="H135" s="4">
        <v>943724.41980000003</v>
      </c>
      <c r="I135" s="4">
        <v>778862.22501999803</v>
      </c>
      <c r="J135" s="4">
        <v>695092.41188000003</v>
      </c>
      <c r="K135" s="4">
        <v>802847.57687999995</v>
      </c>
      <c r="L135" s="4">
        <v>880837.11542000005</v>
      </c>
      <c r="M135" s="4">
        <v>838339.72951999994</v>
      </c>
      <c r="N135" s="4">
        <v>993422.84140000003</v>
      </c>
      <c r="O135" s="4">
        <v>837136.21113999805</v>
      </c>
      <c r="P135" s="4">
        <v>1130107.0668399981</v>
      </c>
      <c r="Q135" s="4">
        <v>1433458.9838483762</v>
      </c>
      <c r="R135" s="4">
        <v>1</v>
      </c>
      <c r="S135" s="4">
        <v>0</v>
      </c>
      <c r="T135">
        <f t="shared" si="6"/>
        <v>-7857.7504145039711</v>
      </c>
      <c r="U135">
        <f t="shared" si="7"/>
        <v>7858.7504145039711</v>
      </c>
      <c r="V135">
        <v>1245876.2235999999</v>
      </c>
      <c r="W135">
        <v>1</v>
      </c>
      <c r="X135">
        <v>1243822.2141064533</v>
      </c>
      <c r="Y135">
        <v>3</v>
      </c>
      <c r="Z135">
        <f t="shared" si="8"/>
        <v>3.5788054854612721E-2</v>
      </c>
    </row>
    <row r="136" spans="1:26" x14ac:dyDescent="0.3">
      <c r="A136">
        <v>20220628</v>
      </c>
      <c r="B136" s="5">
        <v>44740</v>
      </c>
      <c r="C136">
        <v>820077.62371564819</v>
      </c>
      <c r="D136" s="4">
        <v>855582.86460000102</v>
      </c>
      <c r="E136" s="5">
        <v>44740</v>
      </c>
      <c r="F136" s="4">
        <v>20220628</v>
      </c>
      <c r="G136" s="5"/>
      <c r="H136" s="4">
        <v>895332.85744000005</v>
      </c>
      <c r="I136" s="4">
        <v>774513.74853999796</v>
      </c>
      <c r="J136" s="4">
        <v>674254.26755999995</v>
      </c>
      <c r="K136" s="4">
        <v>787953.45299999998</v>
      </c>
      <c r="L136" s="4">
        <v>864286.07711999991</v>
      </c>
      <c r="M136" s="4">
        <v>821603.44500000007</v>
      </c>
      <c r="N136" s="4">
        <v>964140.12276000006</v>
      </c>
      <c r="O136" s="4">
        <v>815297.25249999797</v>
      </c>
      <c r="P136" s="4">
        <v>1096675.078659998</v>
      </c>
      <c r="Q136" s="4">
        <v>1433458.9838483762</v>
      </c>
      <c r="R136" s="4">
        <v>0</v>
      </c>
      <c r="S136" s="4">
        <v>0</v>
      </c>
      <c r="T136">
        <f t="shared" si="6"/>
        <v>0</v>
      </c>
      <c r="U136">
        <f t="shared" si="7"/>
        <v>0</v>
      </c>
      <c r="V136">
        <v>1178811.3718000001</v>
      </c>
      <c r="W136">
        <v>1</v>
      </c>
      <c r="X136">
        <v>1207132.4462756063</v>
      </c>
      <c r="Y136">
        <v>3</v>
      </c>
      <c r="Z136">
        <f t="shared" si="8"/>
        <v>-2.9497598141229969E-2</v>
      </c>
    </row>
    <row r="137" spans="1:26" x14ac:dyDescent="0.3">
      <c r="A137">
        <v>20220629</v>
      </c>
      <c r="B137" s="5">
        <v>44741</v>
      </c>
      <c r="C137">
        <v>832502.61979256407</v>
      </c>
      <c r="D137" s="4">
        <v>865860.93460000097</v>
      </c>
      <c r="E137" s="5">
        <v>44741</v>
      </c>
      <c r="F137" s="4">
        <v>20220629</v>
      </c>
      <c r="G137" s="5"/>
      <c r="H137" s="4">
        <v>917818.85201999987</v>
      </c>
      <c r="I137" s="4">
        <v>772556.45893999806</v>
      </c>
      <c r="J137" s="4">
        <v>695681.67296</v>
      </c>
      <c r="K137" s="4">
        <v>810253.08632</v>
      </c>
      <c r="L137" s="4">
        <v>882675.15205999999</v>
      </c>
      <c r="M137" s="4">
        <v>833539.09493999998</v>
      </c>
      <c r="N137" s="4">
        <v>974093.25705999997</v>
      </c>
      <c r="O137" s="4">
        <v>837185.94949999801</v>
      </c>
      <c r="P137" s="4">
        <v>1123073.6941399979</v>
      </c>
      <c r="Q137" s="4">
        <v>1484857.6222736016</v>
      </c>
      <c r="R137" s="4">
        <v>3</v>
      </c>
      <c r="S137" s="4">
        <v>0</v>
      </c>
      <c r="T137">
        <f t="shared" si="6"/>
        <v>51398.638425225392</v>
      </c>
      <c r="U137">
        <f t="shared" si="7"/>
        <v>-51395.638425225392</v>
      </c>
      <c r="V137">
        <v>1243156.6708</v>
      </c>
      <c r="W137">
        <v>2</v>
      </c>
      <c r="X137">
        <v>1250416.3324488695</v>
      </c>
      <c r="Y137">
        <v>3</v>
      </c>
      <c r="Z137">
        <f t="shared" si="8"/>
        <v>3.58567829957748E-2</v>
      </c>
    </row>
    <row r="138" spans="1:26" x14ac:dyDescent="0.3">
      <c r="A138">
        <v>20220630</v>
      </c>
      <c r="B138" s="5">
        <v>44742</v>
      </c>
      <c r="C138">
        <v>824001.10303924233</v>
      </c>
      <c r="D138" s="4">
        <v>875991.43310000096</v>
      </c>
      <c r="E138" s="5">
        <v>44742</v>
      </c>
      <c r="F138" s="4">
        <v>20220630</v>
      </c>
      <c r="G138" s="5"/>
      <c r="H138" s="4">
        <v>923660.26048000006</v>
      </c>
      <c r="I138" s="4">
        <v>788041.59601999796</v>
      </c>
      <c r="J138" s="4">
        <v>683518.30793999997</v>
      </c>
      <c r="K138" s="4">
        <v>821338.83184</v>
      </c>
      <c r="L138" s="4">
        <v>894016.86265999987</v>
      </c>
      <c r="M138" s="4">
        <v>838832.14034000004</v>
      </c>
      <c r="N138" s="4">
        <v>981997.82119999989</v>
      </c>
      <c r="O138" s="4">
        <v>838338.00293999794</v>
      </c>
      <c r="P138" s="4">
        <v>1148430.8696799981</v>
      </c>
      <c r="Q138" s="4">
        <v>1518536.8499489762</v>
      </c>
      <c r="R138" s="4">
        <v>4</v>
      </c>
      <c r="S138" s="4">
        <v>0</v>
      </c>
      <c r="T138">
        <f t="shared" si="6"/>
        <v>33679.227675374597</v>
      </c>
      <c r="U138">
        <f t="shared" si="7"/>
        <v>-33675.227675374597</v>
      </c>
      <c r="V138">
        <v>1243156.6708</v>
      </c>
      <c r="W138">
        <v>0</v>
      </c>
      <c r="X138">
        <v>1293948.5859626078</v>
      </c>
      <c r="Y138">
        <v>3</v>
      </c>
      <c r="Z138">
        <f t="shared" si="8"/>
        <v>3.4814207383618248E-2</v>
      </c>
    </row>
    <row r="139" spans="1:26" x14ac:dyDescent="0.3">
      <c r="A139">
        <v>20220701</v>
      </c>
      <c r="B139" s="5">
        <v>44743</v>
      </c>
      <c r="C139">
        <v>839610.97993521765</v>
      </c>
      <c r="D139" s="4">
        <v>893256.42020000005</v>
      </c>
      <c r="E139" s="5">
        <v>44743</v>
      </c>
      <c r="F139" s="4">
        <v>20220701</v>
      </c>
      <c r="G139" s="5" t="s">
        <v>10</v>
      </c>
      <c r="H139" s="4">
        <v>962165.94949999987</v>
      </c>
      <c r="I139" s="4">
        <v>802652.21079999802</v>
      </c>
      <c r="J139" s="4">
        <v>705307.55948000005</v>
      </c>
      <c r="K139" s="4">
        <v>857437.81040000007</v>
      </c>
      <c r="L139" s="4">
        <v>912045.76273999992</v>
      </c>
      <c r="M139" s="4">
        <v>854997.93067999999</v>
      </c>
      <c r="N139" s="4">
        <v>1002421.9850400001</v>
      </c>
      <c r="O139" s="4">
        <v>873642.86765999789</v>
      </c>
      <c r="P139" s="4">
        <v>1182144.6394999982</v>
      </c>
      <c r="Q139" s="4">
        <v>1563293.384745802</v>
      </c>
      <c r="R139" s="4">
        <v>4</v>
      </c>
      <c r="S139" s="4">
        <v>0</v>
      </c>
      <c r="T139">
        <f t="shared" si="6"/>
        <v>44756.534796825843</v>
      </c>
      <c r="U139">
        <f t="shared" si="7"/>
        <v>-44752.534796825843</v>
      </c>
      <c r="V139">
        <v>1289972.4937999998</v>
      </c>
      <c r="W139">
        <v>2</v>
      </c>
      <c r="X139">
        <v>1345041.4426010298</v>
      </c>
      <c r="Y139">
        <v>3</v>
      </c>
      <c r="Z139">
        <f t="shared" si="8"/>
        <v>3.9486002143131887E-2</v>
      </c>
    </row>
    <row r="140" spans="1:26" x14ac:dyDescent="0.3">
      <c r="A140">
        <v>20220704</v>
      </c>
      <c r="B140" s="5">
        <v>44746</v>
      </c>
      <c r="C140">
        <v>836766.37793519709</v>
      </c>
      <c r="D140" s="4">
        <v>878585.66390000097</v>
      </c>
      <c r="E140" s="5">
        <v>44746</v>
      </c>
      <c r="F140" s="4">
        <v>20220704</v>
      </c>
      <c r="G140" s="5"/>
      <c r="H140" s="4">
        <v>953331.87625999993</v>
      </c>
      <c r="I140" s="4">
        <v>790758.29577999806</v>
      </c>
      <c r="J140" s="4">
        <v>685609.62786000001</v>
      </c>
      <c r="K140" s="4">
        <v>825069.44714000006</v>
      </c>
      <c r="L140" s="4">
        <v>895203.33935999998</v>
      </c>
      <c r="M140" s="4">
        <v>839243.52921999991</v>
      </c>
      <c r="N140" s="4">
        <v>983318.11853999994</v>
      </c>
      <c r="O140" s="4">
        <v>854348.41729999799</v>
      </c>
      <c r="P140" s="4">
        <v>1163151.559579998</v>
      </c>
      <c r="Q140" s="4">
        <v>1528873.7365150566</v>
      </c>
      <c r="R140" s="4">
        <v>3</v>
      </c>
      <c r="S140" s="4">
        <v>0</v>
      </c>
      <c r="T140">
        <f t="shared" si="6"/>
        <v>-34419.648230745457</v>
      </c>
      <c r="U140">
        <f t="shared" si="7"/>
        <v>34422.648230745457</v>
      </c>
      <c r="V140">
        <v>1271118.4268</v>
      </c>
      <c r="W140">
        <v>2</v>
      </c>
      <c r="X140">
        <v>1315427.5581053647</v>
      </c>
      <c r="Y140">
        <v>3</v>
      </c>
      <c r="Z140">
        <f t="shared" si="8"/>
        <v>-2.2017079591538837E-2</v>
      </c>
    </row>
    <row r="141" spans="1:26" x14ac:dyDescent="0.3">
      <c r="A141">
        <v>20220705</v>
      </c>
      <c r="B141" s="5">
        <v>44747</v>
      </c>
      <c r="C141">
        <v>830114.08523061243</v>
      </c>
      <c r="D141" s="4">
        <v>882022.88000000105</v>
      </c>
      <c r="E141" s="5">
        <v>44747</v>
      </c>
      <c r="F141" s="4">
        <v>20220705</v>
      </c>
      <c r="G141" s="5"/>
      <c r="H141" s="4">
        <v>973598.59235999989</v>
      </c>
      <c r="I141" s="4">
        <v>811503.07375999796</v>
      </c>
      <c r="J141" s="4">
        <v>685220.72973999998</v>
      </c>
      <c r="K141" s="4">
        <v>820867.44277999992</v>
      </c>
      <c r="L141" s="4">
        <v>898997.38964000007</v>
      </c>
      <c r="M141" s="4">
        <v>846149.44037999993</v>
      </c>
      <c r="N141" s="4">
        <v>982323.71693999995</v>
      </c>
      <c r="O141" s="4">
        <v>852487.39047999796</v>
      </c>
      <c r="P141" s="4">
        <v>1169883.125099998</v>
      </c>
      <c r="Q141" s="4">
        <v>1528873.7365150566</v>
      </c>
      <c r="R141" s="4">
        <v>0</v>
      </c>
      <c r="S141" s="4">
        <v>0</v>
      </c>
      <c r="T141">
        <f t="shared" si="6"/>
        <v>0</v>
      </c>
      <c r="U141">
        <f t="shared" si="7"/>
        <v>0</v>
      </c>
      <c r="V141">
        <v>1288976.0009999999</v>
      </c>
      <c r="W141">
        <v>2</v>
      </c>
      <c r="X141">
        <v>1328249.353072101</v>
      </c>
      <c r="Y141">
        <v>3</v>
      </c>
      <c r="Z141">
        <f t="shared" si="8"/>
        <v>9.7472452114381863E-3</v>
      </c>
    </row>
    <row r="142" spans="1:26" x14ac:dyDescent="0.3">
      <c r="A142">
        <v>20220706</v>
      </c>
      <c r="B142" s="5">
        <v>44748</v>
      </c>
      <c r="C142">
        <v>844018.49615822511</v>
      </c>
      <c r="D142" s="4">
        <v>897946.15730000101</v>
      </c>
      <c r="E142" s="5">
        <v>44748</v>
      </c>
      <c r="F142" s="4">
        <v>20220706</v>
      </c>
      <c r="G142" s="5"/>
      <c r="H142" s="4">
        <v>1015051.629</v>
      </c>
      <c r="I142" s="4">
        <v>811414.02619999798</v>
      </c>
      <c r="J142" s="4">
        <v>705957.93817999994</v>
      </c>
      <c r="K142" s="4">
        <v>816989.74561999994</v>
      </c>
      <c r="L142" s="4">
        <v>915632.11192000005</v>
      </c>
      <c r="M142" s="4">
        <v>861808.47936</v>
      </c>
      <c r="N142" s="4">
        <v>1001104.5069800001</v>
      </c>
      <c r="O142" s="4">
        <v>846382.34311999811</v>
      </c>
      <c r="P142" s="4">
        <v>1172367.230779998</v>
      </c>
      <c r="Q142" s="4">
        <v>1534833.2633215005</v>
      </c>
      <c r="R142" s="4">
        <v>2</v>
      </c>
      <c r="S142" s="4">
        <v>0</v>
      </c>
      <c r="T142">
        <f t="shared" si="6"/>
        <v>5959.5268064439297</v>
      </c>
      <c r="U142">
        <f t="shared" si="7"/>
        <v>-5957.5268064439297</v>
      </c>
      <c r="V142">
        <v>1278462.0644</v>
      </c>
      <c r="W142">
        <v>1</v>
      </c>
      <c r="X142">
        <v>1328741.4627669859</v>
      </c>
      <c r="Y142">
        <v>3</v>
      </c>
      <c r="Z142">
        <f t="shared" si="8"/>
        <v>3.7049496297262197E-4</v>
      </c>
    </row>
    <row r="143" spans="1:26" x14ac:dyDescent="0.3">
      <c r="A143">
        <v>20220707</v>
      </c>
      <c r="B143" s="5">
        <v>44749</v>
      </c>
      <c r="C143">
        <v>834507.25172501802</v>
      </c>
      <c r="D143" s="4">
        <v>897724.57880000095</v>
      </c>
      <c r="E143" s="5">
        <v>44749</v>
      </c>
      <c r="F143" s="4">
        <v>20220707</v>
      </c>
      <c r="G143" s="5"/>
      <c r="H143" s="4">
        <v>1026551.5124600001</v>
      </c>
      <c r="I143" s="4">
        <v>814629.805219998</v>
      </c>
      <c r="J143" s="4">
        <v>716386.57026000007</v>
      </c>
      <c r="K143" s="4">
        <v>841428.02520000003</v>
      </c>
      <c r="L143" s="4">
        <v>907183.27410000004</v>
      </c>
      <c r="M143" s="4">
        <v>852234.84201999998</v>
      </c>
      <c r="N143" s="4">
        <v>983979.88986000011</v>
      </c>
      <c r="O143" s="4">
        <v>881814.35827999806</v>
      </c>
      <c r="P143" s="4">
        <v>1164856.7122999979</v>
      </c>
      <c r="Q143" s="4">
        <v>1621987.0824870744</v>
      </c>
      <c r="R143" s="4">
        <v>1</v>
      </c>
      <c r="S143" s="4">
        <v>0</v>
      </c>
      <c r="T143">
        <f t="shared" si="6"/>
        <v>87153.819165573921</v>
      </c>
      <c r="U143">
        <f t="shared" si="7"/>
        <v>-87152.819165573921</v>
      </c>
      <c r="V143">
        <v>1270224.3138000001</v>
      </c>
      <c r="W143">
        <v>4</v>
      </c>
      <c r="X143">
        <v>1324189.3292208673</v>
      </c>
      <c r="Y143">
        <v>3</v>
      </c>
      <c r="Z143">
        <f t="shared" si="8"/>
        <v>-3.4258986218727691E-3</v>
      </c>
    </row>
    <row r="144" spans="1:26" x14ac:dyDescent="0.3">
      <c r="A144">
        <v>20220708</v>
      </c>
      <c r="B144" s="5">
        <v>44750</v>
      </c>
      <c r="C144">
        <v>819632.15996301966</v>
      </c>
      <c r="D144" s="4">
        <v>910985.31310000096</v>
      </c>
      <c r="E144" s="5">
        <v>44750</v>
      </c>
      <c r="F144" s="4">
        <v>20220708</v>
      </c>
      <c r="G144" s="5"/>
      <c r="H144" s="4">
        <v>1107382.0746599999</v>
      </c>
      <c r="I144" s="4">
        <v>840750.67791999807</v>
      </c>
      <c r="J144" s="4">
        <v>748324.47419999994</v>
      </c>
      <c r="K144" s="4">
        <v>845360.36967999989</v>
      </c>
      <c r="L144" s="4">
        <v>920665.61943999992</v>
      </c>
      <c r="M144" s="4">
        <v>864617.75554000004</v>
      </c>
      <c r="N144" s="4">
        <v>977062.55380000011</v>
      </c>
      <c r="O144" s="4">
        <v>896129.40909999795</v>
      </c>
      <c r="P144" s="4">
        <v>1211076.0867999981</v>
      </c>
      <c r="Q144" s="4">
        <v>1665357.1067162687</v>
      </c>
      <c r="R144" s="4">
        <v>1</v>
      </c>
      <c r="S144" s="4">
        <v>0</v>
      </c>
      <c r="T144">
        <f t="shared" si="6"/>
        <v>43370.02422919427</v>
      </c>
      <c r="U144">
        <f t="shared" si="7"/>
        <v>-43369.02422919427</v>
      </c>
      <c r="V144">
        <v>1393166.0348</v>
      </c>
      <c r="W144">
        <v>2</v>
      </c>
      <c r="X144">
        <v>1398034.6966300008</v>
      </c>
      <c r="Y144">
        <v>3</v>
      </c>
      <c r="Z144">
        <f t="shared" si="8"/>
        <v>5.5766472195167942E-2</v>
      </c>
    </row>
    <row r="145" spans="1:26" x14ac:dyDescent="0.3">
      <c r="A145">
        <v>20220711</v>
      </c>
      <c r="B145" s="5">
        <v>44753</v>
      </c>
      <c r="C145">
        <v>800437.19440884562</v>
      </c>
      <c r="D145" s="4">
        <v>880826.24610000104</v>
      </c>
      <c r="E145" s="5">
        <v>44753</v>
      </c>
      <c r="F145" s="4">
        <v>20220711</v>
      </c>
      <c r="G145" s="5"/>
      <c r="H145" s="4">
        <v>1054460.3875600002</v>
      </c>
      <c r="I145" s="4">
        <v>804185.64575999801</v>
      </c>
      <c r="J145" s="4">
        <v>731614.78618000005</v>
      </c>
      <c r="K145" s="4">
        <v>816201.62560000003</v>
      </c>
      <c r="L145" s="4">
        <v>889444.25140000007</v>
      </c>
      <c r="M145" s="4">
        <v>834309.06560000009</v>
      </c>
      <c r="N145" s="4">
        <v>940456.96809999994</v>
      </c>
      <c r="O145" s="4">
        <v>877912.06643999799</v>
      </c>
      <c r="P145" s="4">
        <v>1166320.9655399979</v>
      </c>
      <c r="Q145" s="4">
        <v>1598374.5764579051</v>
      </c>
      <c r="R145" s="4">
        <v>1</v>
      </c>
      <c r="S145" s="4">
        <v>0</v>
      </c>
      <c r="T145">
        <f t="shared" si="6"/>
        <v>-66982.530258363578</v>
      </c>
      <c r="U145">
        <f t="shared" si="7"/>
        <v>66983.530258363578</v>
      </c>
      <c r="V145">
        <v>1317992.1233999999</v>
      </c>
      <c r="W145">
        <v>2</v>
      </c>
      <c r="X145">
        <v>1332081.2709031266</v>
      </c>
      <c r="Y145">
        <v>3</v>
      </c>
      <c r="Z145">
        <f t="shared" si="8"/>
        <v>-4.7175814653138956E-2</v>
      </c>
    </row>
    <row r="146" spans="1:26" x14ac:dyDescent="0.3">
      <c r="A146">
        <v>20220712</v>
      </c>
      <c r="B146" s="5">
        <v>44754</v>
      </c>
      <c r="C146">
        <v>813505.13204476447</v>
      </c>
      <c r="D146" s="4">
        <v>888820.327400001</v>
      </c>
      <c r="E146" s="5">
        <v>44754</v>
      </c>
      <c r="F146" s="4">
        <v>20220712</v>
      </c>
      <c r="G146" s="5"/>
      <c r="H146" s="4">
        <v>1109864.2164</v>
      </c>
      <c r="I146" s="4">
        <v>809956.28797999793</v>
      </c>
      <c r="J146" s="4">
        <v>744499.96522000001</v>
      </c>
      <c r="K146" s="4">
        <v>835413.41686</v>
      </c>
      <c r="L146" s="4">
        <v>900031.74228000012</v>
      </c>
      <c r="M146" s="4">
        <v>844090.08783999993</v>
      </c>
      <c r="N146" s="4">
        <v>945123.42953999992</v>
      </c>
      <c r="O146" s="4">
        <v>913802.11863999791</v>
      </c>
      <c r="P146" s="4">
        <v>1197912.5126199978</v>
      </c>
      <c r="Q146" s="4">
        <v>1640433.3122165331</v>
      </c>
      <c r="R146" s="4">
        <v>3</v>
      </c>
      <c r="S146" s="4">
        <v>0</v>
      </c>
      <c r="T146">
        <f t="shared" si="6"/>
        <v>42058.735758627998</v>
      </c>
      <c r="U146">
        <f t="shared" si="7"/>
        <v>-42055.735758627998</v>
      </c>
      <c r="V146">
        <v>1334971.6203999999</v>
      </c>
      <c r="W146">
        <v>2</v>
      </c>
      <c r="X146">
        <v>1367132.8428969225</v>
      </c>
      <c r="Y146">
        <v>3</v>
      </c>
      <c r="Z146">
        <f t="shared" si="8"/>
        <v>2.6313388499210413E-2</v>
      </c>
    </row>
    <row r="147" spans="1:26" x14ac:dyDescent="0.3">
      <c r="A147">
        <v>20220713</v>
      </c>
      <c r="B147" s="5">
        <v>44755</v>
      </c>
      <c r="C147">
        <v>834895.4359867496</v>
      </c>
      <c r="D147" s="4">
        <v>908068.267300001</v>
      </c>
      <c r="E147" s="5">
        <v>44755</v>
      </c>
      <c r="F147" s="4">
        <v>20220713</v>
      </c>
      <c r="G147" s="5"/>
      <c r="H147" s="4">
        <v>1178635.8734599999</v>
      </c>
      <c r="I147" s="4">
        <v>827975.55349999794</v>
      </c>
      <c r="J147" s="4">
        <v>760533.54874</v>
      </c>
      <c r="K147" s="4">
        <v>886342.67787999997</v>
      </c>
      <c r="L147" s="4">
        <v>926071.37170000002</v>
      </c>
      <c r="M147" s="4">
        <v>869470.63797999988</v>
      </c>
      <c r="N147" s="4">
        <v>973773.79878000007</v>
      </c>
      <c r="O147" s="4">
        <v>963285.28097999806</v>
      </c>
      <c r="P147" s="4">
        <v>1231450.9691199982</v>
      </c>
      <c r="Q147" s="4">
        <v>1640433.3122165331</v>
      </c>
      <c r="R147" s="4">
        <v>0</v>
      </c>
      <c r="S147" s="4">
        <v>0</v>
      </c>
      <c r="T147">
        <f t="shared" si="6"/>
        <v>0</v>
      </c>
      <c r="U147">
        <f t="shared" si="7"/>
        <v>0</v>
      </c>
      <c r="V147">
        <v>1338660.8810000001</v>
      </c>
      <c r="W147">
        <v>2</v>
      </c>
      <c r="X147">
        <v>1370587.3908494238</v>
      </c>
      <c r="Y147">
        <v>1</v>
      </c>
      <c r="Z147">
        <f t="shared" si="8"/>
        <v>2.5268560918931841E-3</v>
      </c>
    </row>
    <row r="148" spans="1:26" x14ac:dyDescent="0.3">
      <c r="A148">
        <v>20220714</v>
      </c>
      <c r="B148" s="5">
        <v>44756</v>
      </c>
      <c r="C148">
        <v>817518.75727755739</v>
      </c>
      <c r="D148" s="4">
        <v>901013.44580000103</v>
      </c>
      <c r="E148" s="5">
        <v>44756</v>
      </c>
      <c r="F148" s="4">
        <v>20220714</v>
      </c>
      <c r="G148" s="5"/>
      <c r="H148" s="4">
        <v>1173642.98122</v>
      </c>
      <c r="I148" s="4">
        <v>825154.78119999799</v>
      </c>
      <c r="J148" s="4">
        <v>746883.81084000005</v>
      </c>
      <c r="K148" s="4">
        <v>879239.94429999997</v>
      </c>
      <c r="L148" s="4">
        <v>918312.10956000001</v>
      </c>
      <c r="M148" s="4">
        <v>862383.21554</v>
      </c>
      <c r="N148" s="4">
        <v>960308.95955999999</v>
      </c>
      <c r="O148" s="4">
        <v>974193.10377999803</v>
      </c>
      <c r="P148" s="4">
        <v>1216238.4937999998</v>
      </c>
      <c r="Q148" s="4">
        <v>1640433.3122165331</v>
      </c>
      <c r="R148" s="4">
        <v>0</v>
      </c>
      <c r="S148" s="4">
        <v>0</v>
      </c>
      <c r="T148">
        <f t="shared" si="6"/>
        <v>0</v>
      </c>
      <c r="U148">
        <f t="shared" si="7"/>
        <v>0</v>
      </c>
      <c r="V148">
        <v>1314869.9136000001</v>
      </c>
      <c r="W148">
        <v>2</v>
      </c>
      <c r="X148">
        <v>1375936.8305232478</v>
      </c>
      <c r="Y148">
        <v>1</v>
      </c>
      <c r="Z148">
        <f t="shared" si="8"/>
        <v>3.9030270594483428E-3</v>
      </c>
    </row>
    <row r="149" spans="1:26" x14ac:dyDescent="0.3">
      <c r="A149">
        <v>20220715</v>
      </c>
      <c r="B149" s="5">
        <v>44757</v>
      </c>
      <c r="C149">
        <v>829309.83031377161</v>
      </c>
      <c r="D149" s="4">
        <v>915894.99350000103</v>
      </c>
      <c r="E149" s="5">
        <v>44757</v>
      </c>
      <c r="F149" s="4">
        <v>20220715</v>
      </c>
      <c r="G149" s="5"/>
      <c r="H149" s="4">
        <v>1250248.1081399999</v>
      </c>
      <c r="I149" s="4">
        <v>858791.70701999799</v>
      </c>
      <c r="J149" s="4">
        <v>762281.85127999994</v>
      </c>
      <c r="K149" s="4">
        <v>913370.97016000003</v>
      </c>
      <c r="L149" s="4">
        <v>936195.91410000005</v>
      </c>
      <c r="M149" s="4">
        <v>879191.47432000004</v>
      </c>
      <c r="N149" s="4">
        <v>973768.08207999798</v>
      </c>
      <c r="O149" s="4">
        <v>1009646.7548199979</v>
      </c>
      <c r="P149" s="4">
        <v>1268212.7146000001</v>
      </c>
      <c r="Q149" s="4">
        <v>1709096.9942877253</v>
      </c>
      <c r="R149" s="4">
        <v>4</v>
      </c>
      <c r="S149" s="4">
        <v>0</v>
      </c>
      <c r="T149">
        <f t="shared" si="6"/>
        <v>68663.68207119219</v>
      </c>
      <c r="U149">
        <f t="shared" si="7"/>
        <v>-68659.68207119219</v>
      </c>
      <c r="V149">
        <v>1346044.8968</v>
      </c>
      <c r="W149">
        <v>2</v>
      </c>
      <c r="X149">
        <v>1391240.3918411285</v>
      </c>
      <c r="Y149">
        <v>1</v>
      </c>
      <c r="Z149">
        <f t="shared" si="8"/>
        <v>1.1122284815983105E-2</v>
      </c>
    </row>
    <row r="150" spans="1:26" x14ac:dyDescent="0.3">
      <c r="A150">
        <v>20220718</v>
      </c>
      <c r="B150" s="5">
        <v>44760</v>
      </c>
      <c r="C150">
        <v>814640.16872535122</v>
      </c>
      <c r="D150" s="4">
        <v>915336.23200000101</v>
      </c>
      <c r="E150" s="5">
        <v>44760</v>
      </c>
      <c r="F150" s="4">
        <v>20220718</v>
      </c>
      <c r="G150" s="5"/>
      <c r="H150" s="4">
        <v>1259256.1011999999</v>
      </c>
      <c r="I150" s="4">
        <v>844729.93497999792</v>
      </c>
      <c r="J150" s="4">
        <v>766577.84305999998</v>
      </c>
      <c r="K150" s="4">
        <v>923426.19396000006</v>
      </c>
      <c r="L150" s="4">
        <v>934602.25211999996</v>
      </c>
      <c r="M150" s="4">
        <v>877557.08851999999</v>
      </c>
      <c r="N150" s="4">
        <v>969814.87257999799</v>
      </c>
      <c r="O150" s="4">
        <v>1016180.0508399981</v>
      </c>
      <c r="P150" s="4">
        <v>1250103.3031399981</v>
      </c>
      <c r="Q150" s="4">
        <v>1684585.785199536</v>
      </c>
      <c r="R150" s="4">
        <v>4</v>
      </c>
      <c r="S150" s="4">
        <v>0</v>
      </c>
      <c r="T150">
        <f t="shared" si="6"/>
        <v>-24511.209088189295</v>
      </c>
      <c r="U150">
        <f t="shared" si="7"/>
        <v>24515.209088189295</v>
      </c>
      <c r="V150">
        <v>1321970.8192</v>
      </c>
      <c r="W150">
        <v>2</v>
      </c>
      <c r="X150">
        <v>1403182.6323714058</v>
      </c>
      <c r="Y150">
        <v>1</v>
      </c>
      <c r="Z150">
        <f t="shared" si="8"/>
        <v>8.5838799680573851E-3</v>
      </c>
    </row>
    <row r="151" spans="1:26" x14ac:dyDescent="0.3">
      <c r="A151">
        <v>20220719</v>
      </c>
      <c r="B151" s="5">
        <v>44761</v>
      </c>
      <c r="C151">
        <v>818860.81943951722</v>
      </c>
      <c r="D151" s="4">
        <v>933693.26530000102</v>
      </c>
      <c r="E151" s="5">
        <v>44761</v>
      </c>
      <c r="F151" s="4">
        <v>20220719</v>
      </c>
      <c r="G151" s="5"/>
      <c r="H151" s="4">
        <v>1265745.3147199999</v>
      </c>
      <c r="I151" s="4">
        <v>894736.39365999796</v>
      </c>
      <c r="J151" s="4">
        <v>765935.92333999998</v>
      </c>
      <c r="K151" s="4">
        <v>948403.45094000013</v>
      </c>
      <c r="L151" s="4">
        <v>954497.05368000013</v>
      </c>
      <c r="M151" s="4">
        <v>896449.86899999995</v>
      </c>
      <c r="N151" s="4">
        <v>992637.96025999798</v>
      </c>
      <c r="O151" s="4">
        <v>1039128.0612799979</v>
      </c>
      <c r="P151" s="4">
        <v>1312779.81868</v>
      </c>
      <c r="Q151" s="4">
        <v>1769155.3475668584</v>
      </c>
      <c r="R151" s="4">
        <v>4</v>
      </c>
      <c r="S151" s="4">
        <v>0</v>
      </c>
      <c r="T151">
        <f t="shared" si="6"/>
        <v>84569.562367322389</v>
      </c>
      <c r="U151">
        <f t="shared" si="7"/>
        <v>-84565.562367322389</v>
      </c>
      <c r="V151">
        <v>1356421.5009999999</v>
      </c>
      <c r="W151">
        <v>2</v>
      </c>
      <c r="X151">
        <v>1360680.3306857161</v>
      </c>
      <c r="Y151">
        <v>1</v>
      </c>
      <c r="Z151">
        <f t="shared" si="8"/>
        <v>-3.0289928556099646E-2</v>
      </c>
    </row>
    <row r="152" spans="1:26" x14ac:dyDescent="0.3">
      <c r="A152">
        <v>20220720</v>
      </c>
      <c r="B152" s="5">
        <v>44762</v>
      </c>
      <c r="C152">
        <v>814777.16053297243</v>
      </c>
      <c r="D152" s="4">
        <v>930266.10160000005</v>
      </c>
      <c r="E152" s="5">
        <v>44762</v>
      </c>
      <c r="F152" s="4">
        <v>20220720</v>
      </c>
      <c r="G152" s="5"/>
      <c r="H152" s="4">
        <v>1294207.3909800001</v>
      </c>
      <c r="I152" s="4">
        <v>900467.88143999805</v>
      </c>
      <c r="J152" s="4">
        <v>766070.79310000001</v>
      </c>
      <c r="K152" s="4">
        <v>953894.77692000009</v>
      </c>
      <c r="L152" s="4">
        <v>952326.36248000001</v>
      </c>
      <c r="M152" s="4">
        <v>894579.16302000009</v>
      </c>
      <c r="N152" s="4">
        <v>985328.14879999997</v>
      </c>
      <c r="O152" s="4">
        <v>1054916.1902199979</v>
      </c>
      <c r="P152" s="4">
        <v>1323332.5023000001</v>
      </c>
      <c r="Q152" s="4">
        <v>1841153.5273190215</v>
      </c>
      <c r="R152" s="4">
        <v>1</v>
      </c>
      <c r="S152" s="4">
        <v>0</v>
      </c>
      <c r="T152">
        <f t="shared" si="6"/>
        <v>71998.179752163123</v>
      </c>
      <c r="U152">
        <f t="shared" si="7"/>
        <v>-71997.179752163123</v>
      </c>
      <c r="V152">
        <v>1356421.5009999999</v>
      </c>
      <c r="W152">
        <v>0</v>
      </c>
      <c r="X152">
        <v>1416052.9725422738</v>
      </c>
      <c r="Y152">
        <v>1</v>
      </c>
      <c r="Z152">
        <f t="shared" si="8"/>
        <v>4.0694820530442002E-2</v>
      </c>
    </row>
    <row r="153" spans="1:26" x14ac:dyDescent="0.3">
      <c r="A153">
        <v>20220721</v>
      </c>
      <c r="B153" s="5">
        <v>44763</v>
      </c>
      <c r="C153">
        <v>810588.39115067234</v>
      </c>
      <c r="D153" s="4">
        <v>912616.52430000005</v>
      </c>
      <c r="E153" s="5">
        <v>44763</v>
      </c>
      <c r="F153" s="4">
        <v>20220721</v>
      </c>
      <c r="G153" s="5"/>
      <c r="H153" s="4">
        <v>1287490.4758600001</v>
      </c>
      <c r="I153" s="4">
        <v>893175.76557999791</v>
      </c>
      <c r="J153" s="4">
        <v>757708.15867999999</v>
      </c>
      <c r="K153" s="4">
        <v>952542.57902000006</v>
      </c>
      <c r="L153" s="4">
        <v>934407.12300000002</v>
      </c>
      <c r="M153" s="4">
        <v>877948.35204000003</v>
      </c>
      <c r="N153" s="4">
        <v>969599.46531999798</v>
      </c>
      <c r="O153" s="4">
        <v>1054068.9319999979</v>
      </c>
      <c r="P153" s="4">
        <v>1301315.8066199999</v>
      </c>
      <c r="Q153" s="4">
        <v>1806584.05750589</v>
      </c>
      <c r="R153" s="4">
        <v>1</v>
      </c>
      <c r="S153" s="4">
        <v>0</v>
      </c>
      <c r="T153">
        <f t="shared" si="6"/>
        <v>-34569.469813131494</v>
      </c>
      <c r="U153">
        <f t="shared" si="7"/>
        <v>34570.469813131494</v>
      </c>
      <c r="V153">
        <v>1356421.5009999999</v>
      </c>
      <c r="W153">
        <v>0</v>
      </c>
      <c r="X153">
        <v>1389464.8781317184</v>
      </c>
      <c r="Y153">
        <v>1</v>
      </c>
      <c r="Z153">
        <f t="shared" si="8"/>
        <v>-1.8776200414890691E-2</v>
      </c>
    </row>
    <row r="154" spans="1:26" x14ac:dyDescent="0.3">
      <c r="A154">
        <v>20220722</v>
      </c>
      <c r="B154" s="5">
        <v>44764</v>
      </c>
      <c r="C154">
        <v>800990.21401105728</v>
      </c>
      <c r="D154" s="4">
        <v>907324.59380000003</v>
      </c>
      <c r="E154" s="5">
        <v>44764</v>
      </c>
      <c r="F154" s="4">
        <v>20220722</v>
      </c>
      <c r="G154" s="5"/>
      <c r="H154" s="4">
        <v>1284078.3275599999</v>
      </c>
      <c r="I154" s="4">
        <v>882714.86905999796</v>
      </c>
      <c r="J154" s="4">
        <v>756542.52445999999</v>
      </c>
      <c r="K154" s="4">
        <v>952211.98947999999</v>
      </c>
      <c r="L154" s="4">
        <v>927125.6113600001</v>
      </c>
      <c r="M154" s="4">
        <v>869713.03266000003</v>
      </c>
      <c r="N154" s="4">
        <v>960659.65787999798</v>
      </c>
      <c r="O154" s="4">
        <v>1059254.2091199979</v>
      </c>
      <c r="P154" s="4">
        <v>1313320.6998000001</v>
      </c>
      <c r="Q154" s="4">
        <v>1926324.9617418649</v>
      </c>
      <c r="R154" s="4">
        <v>1</v>
      </c>
      <c r="S154" s="4">
        <v>0</v>
      </c>
      <c r="T154">
        <f t="shared" si="6"/>
        <v>119740.90423597489</v>
      </c>
      <c r="U154">
        <f t="shared" si="7"/>
        <v>-119739.90423597489</v>
      </c>
      <c r="V154">
        <v>1368936.7168000001</v>
      </c>
      <c r="W154">
        <v>4</v>
      </c>
      <c r="X154">
        <v>1481559.1551365636</v>
      </c>
      <c r="Y154">
        <v>1</v>
      </c>
      <c r="Z154">
        <f t="shared" si="8"/>
        <v>6.6280392152607448E-2</v>
      </c>
    </row>
    <row r="155" spans="1:26" x14ac:dyDescent="0.3">
      <c r="A155">
        <v>20220725</v>
      </c>
      <c r="B155" s="5">
        <v>44767</v>
      </c>
      <c r="C155">
        <v>803498.11437112594</v>
      </c>
      <c r="D155" s="4">
        <v>906388.30440000002</v>
      </c>
      <c r="E155" s="5">
        <v>44767</v>
      </c>
      <c r="F155" s="4">
        <v>20220725</v>
      </c>
      <c r="G155" s="5"/>
      <c r="H155" s="4">
        <v>1282166.0055199999</v>
      </c>
      <c r="I155" s="4">
        <v>888106.86215999792</v>
      </c>
      <c r="J155" s="4">
        <v>774379.1642</v>
      </c>
      <c r="K155" s="4">
        <v>955340.74678000004</v>
      </c>
      <c r="L155" s="4">
        <v>925789.88939999999</v>
      </c>
      <c r="M155" s="4">
        <v>868513.87080000003</v>
      </c>
      <c r="N155" s="4">
        <v>961769.82163999812</v>
      </c>
      <c r="O155" s="4">
        <v>1043413.9589999979</v>
      </c>
      <c r="P155" s="4">
        <v>1332273.80082</v>
      </c>
      <c r="Q155" s="4">
        <v>1954189.8934108384</v>
      </c>
      <c r="R155" s="4">
        <v>4</v>
      </c>
      <c r="S155" s="4">
        <v>0</v>
      </c>
      <c r="T155">
        <f t="shared" si="6"/>
        <v>27864.931668973528</v>
      </c>
      <c r="U155">
        <f t="shared" si="7"/>
        <v>-27860.931668973528</v>
      </c>
      <c r="V155">
        <v>1388738.4062000001</v>
      </c>
      <c r="W155">
        <v>4</v>
      </c>
      <c r="X155">
        <v>1503301.639421595</v>
      </c>
      <c r="Y155">
        <v>3</v>
      </c>
      <c r="Z155">
        <f t="shared" si="8"/>
        <v>1.4675407464933331E-2</v>
      </c>
    </row>
    <row r="156" spans="1:26" x14ac:dyDescent="0.3">
      <c r="A156">
        <v>20220726</v>
      </c>
      <c r="B156" s="5">
        <v>44768</v>
      </c>
      <c r="C156">
        <v>803719.87985069235</v>
      </c>
      <c r="D156" s="4">
        <v>913558.48419999995</v>
      </c>
      <c r="E156" s="5">
        <v>44768</v>
      </c>
      <c r="F156" s="4">
        <v>20220726</v>
      </c>
      <c r="G156" s="5"/>
      <c r="H156" s="4">
        <v>1294596.03666</v>
      </c>
      <c r="I156" s="4">
        <v>915334.11827999796</v>
      </c>
      <c r="J156" s="4">
        <v>783844.16664000007</v>
      </c>
      <c r="K156" s="4">
        <v>961402.94375999994</v>
      </c>
      <c r="L156" s="4">
        <v>935969.16818000004</v>
      </c>
      <c r="M156" s="4">
        <v>878773.03252000012</v>
      </c>
      <c r="N156" s="4">
        <v>982987.62015999795</v>
      </c>
      <c r="O156" s="4">
        <v>1054269.2097599979</v>
      </c>
      <c r="P156" s="4">
        <v>1342239.9067199999</v>
      </c>
      <c r="Q156" s="4">
        <v>1954189.8934108384</v>
      </c>
      <c r="R156" s="4">
        <v>0</v>
      </c>
      <c r="S156" s="4">
        <v>0</v>
      </c>
      <c r="T156">
        <f t="shared" si="6"/>
        <v>0</v>
      </c>
      <c r="U156">
        <f t="shared" si="7"/>
        <v>0</v>
      </c>
      <c r="V156">
        <v>1364352.594</v>
      </c>
      <c r="W156">
        <v>2</v>
      </c>
      <c r="X156">
        <v>1470769.0332567526</v>
      </c>
      <c r="Y156">
        <v>3</v>
      </c>
      <c r="Z156">
        <f t="shared" si="8"/>
        <v>-2.1640770761987265E-2</v>
      </c>
    </row>
    <row r="157" spans="1:26" x14ac:dyDescent="0.3">
      <c r="A157">
        <v>20220727</v>
      </c>
      <c r="B157" s="5">
        <v>44769</v>
      </c>
      <c r="C157">
        <v>801234.77798219398</v>
      </c>
      <c r="D157" s="4">
        <v>924516.90720000002</v>
      </c>
      <c r="E157" s="5">
        <v>44769</v>
      </c>
      <c r="F157" s="4">
        <v>20220727</v>
      </c>
      <c r="G157" s="5"/>
      <c r="H157" s="4">
        <v>1302098.74342</v>
      </c>
      <c r="I157" s="4">
        <v>928703.516539998</v>
      </c>
      <c r="J157" s="4">
        <v>795088.18317999993</v>
      </c>
      <c r="K157" s="4">
        <v>977217.44773999997</v>
      </c>
      <c r="L157" s="4">
        <v>948330.46094000002</v>
      </c>
      <c r="M157" s="4">
        <v>890310.88416000013</v>
      </c>
      <c r="N157" s="4">
        <v>997154.853699998</v>
      </c>
      <c r="O157" s="4">
        <v>1051581.6007799979</v>
      </c>
      <c r="P157" s="4">
        <v>1335568.95098</v>
      </c>
      <c r="Q157" s="4">
        <v>1954189.8934108384</v>
      </c>
      <c r="R157" s="4">
        <v>0</v>
      </c>
      <c r="S157" s="4">
        <v>0</v>
      </c>
      <c r="T157">
        <f t="shared" si="6"/>
        <v>0</v>
      </c>
      <c r="U157">
        <f t="shared" si="7"/>
        <v>0</v>
      </c>
      <c r="V157">
        <v>1364352.594</v>
      </c>
      <c r="W157">
        <v>0</v>
      </c>
      <c r="X157">
        <v>1478261.5355141463</v>
      </c>
      <c r="Y157">
        <v>3</v>
      </c>
      <c r="Z157">
        <f t="shared" si="8"/>
        <v>5.0942752315112855E-3</v>
      </c>
    </row>
    <row r="158" spans="1:26" x14ac:dyDescent="0.3">
      <c r="A158">
        <v>20220728</v>
      </c>
      <c r="B158" s="5">
        <v>44770</v>
      </c>
      <c r="C158">
        <v>790724.98139940167</v>
      </c>
      <c r="D158" s="4">
        <v>913623.25080000004</v>
      </c>
      <c r="E158" s="5">
        <v>44770</v>
      </c>
      <c r="F158" s="4">
        <v>20220728</v>
      </c>
      <c r="G158" s="5"/>
      <c r="H158" s="4">
        <v>1305826.61864</v>
      </c>
      <c r="I158" s="4">
        <v>911219.39295999799</v>
      </c>
      <c r="J158" s="4">
        <v>779962.18594</v>
      </c>
      <c r="K158" s="4">
        <v>982649.46435999998</v>
      </c>
      <c r="L158" s="4">
        <v>937176.66021999996</v>
      </c>
      <c r="M158" s="4">
        <v>880057.25842000009</v>
      </c>
      <c r="N158" s="4">
        <v>978350.12715999805</v>
      </c>
      <c r="O158" s="4">
        <v>1028408.736499998</v>
      </c>
      <c r="P158" s="4">
        <v>1296191.61362</v>
      </c>
      <c r="Q158" s="4">
        <v>1911650.7502633324</v>
      </c>
      <c r="R158" s="4">
        <v>3</v>
      </c>
      <c r="S158" s="4">
        <v>0</v>
      </c>
      <c r="T158">
        <f t="shared" si="6"/>
        <v>-42539.143147506053</v>
      </c>
      <c r="U158">
        <f t="shared" si="7"/>
        <v>42542.143147506053</v>
      </c>
      <c r="V158">
        <v>1364352.594</v>
      </c>
      <c r="W158">
        <v>0</v>
      </c>
      <c r="X158">
        <v>1446083.0578412474</v>
      </c>
      <c r="Y158">
        <v>3</v>
      </c>
      <c r="Z158">
        <f t="shared" si="8"/>
        <v>-2.1767783913627357E-2</v>
      </c>
    </row>
    <row r="159" spans="1:26" x14ac:dyDescent="0.3">
      <c r="A159">
        <v>20220729</v>
      </c>
      <c r="B159" s="5">
        <v>44771</v>
      </c>
      <c r="C159">
        <v>809450.93040890223</v>
      </c>
      <c r="D159" s="4">
        <v>917384.60519999999</v>
      </c>
      <c r="E159" s="5">
        <v>44771</v>
      </c>
      <c r="F159" s="4">
        <v>20220729</v>
      </c>
      <c r="G159" s="5"/>
      <c r="H159" s="4">
        <v>1301790.0675599999</v>
      </c>
      <c r="I159" s="4">
        <v>913855.93465999793</v>
      </c>
      <c r="J159" s="4">
        <v>805836.87161999999</v>
      </c>
      <c r="K159" s="4">
        <v>997932.58513999986</v>
      </c>
      <c r="L159" s="4">
        <v>942288.17018000002</v>
      </c>
      <c r="M159" s="4">
        <v>884882.61730000004</v>
      </c>
      <c r="N159" s="4">
        <v>984713.79821999802</v>
      </c>
      <c r="O159" s="4">
        <v>1034658.006499998</v>
      </c>
      <c r="P159" s="4">
        <v>1300014.2540599999</v>
      </c>
      <c r="Q159" s="4">
        <v>1929657.8783009576</v>
      </c>
      <c r="R159" s="4">
        <v>3</v>
      </c>
      <c r="S159" s="4">
        <v>0</v>
      </c>
      <c r="T159">
        <f t="shared" si="6"/>
        <v>18007.128037625225</v>
      </c>
      <c r="U159">
        <f t="shared" si="7"/>
        <v>-18004.128037625225</v>
      </c>
      <c r="V159">
        <v>1376883.6403999999</v>
      </c>
      <c r="W159">
        <v>2</v>
      </c>
      <c r="X159">
        <v>1459704.5809423949</v>
      </c>
      <c r="Y159">
        <v>3</v>
      </c>
      <c r="Z159">
        <f t="shared" si="8"/>
        <v>9.4195993980332512E-3</v>
      </c>
    </row>
    <row r="160" spans="1:26" x14ac:dyDescent="0.3">
      <c r="A160">
        <v>20220801</v>
      </c>
      <c r="B160" s="5">
        <v>44774</v>
      </c>
      <c r="C160">
        <v>793118.638986042</v>
      </c>
      <c r="D160" s="4">
        <v>899430.82979999995</v>
      </c>
      <c r="E160" s="5">
        <v>44774</v>
      </c>
      <c r="F160" s="4">
        <v>20220801</v>
      </c>
      <c r="G160" s="5"/>
      <c r="H160" s="4">
        <v>1313363.2957200001</v>
      </c>
      <c r="I160" s="4">
        <v>888014.31335999793</v>
      </c>
      <c r="J160" s="4">
        <v>787537.52211999998</v>
      </c>
      <c r="K160" s="4">
        <v>989757.24959999998</v>
      </c>
      <c r="L160" s="4">
        <v>925059.40355999989</v>
      </c>
      <c r="M160" s="4">
        <v>873868.2045600001</v>
      </c>
      <c r="N160" s="4">
        <v>958594.47951999796</v>
      </c>
      <c r="O160" s="4">
        <v>1019246.9267799979</v>
      </c>
      <c r="P160" s="4">
        <v>1263835.6978</v>
      </c>
      <c r="Q160" s="4">
        <v>1875722.7499741463</v>
      </c>
      <c r="R160" s="4">
        <v>4</v>
      </c>
      <c r="S160" s="4">
        <v>0</v>
      </c>
      <c r="T160">
        <f t="shared" si="6"/>
        <v>-53935.128326811362</v>
      </c>
      <c r="U160">
        <f t="shared" si="7"/>
        <v>53939.128326811362</v>
      </c>
      <c r="V160">
        <v>1338029.5392</v>
      </c>
      <c r="W160">
        <v>2</v>
      </c>
      <c r="X160">
        <v>1424233.0936116981</v>
      </c>
      <c r="Y160">
        <v>3</v>
      </c>
      <c r="Z160">
        <f t="shared" si="8"/>
        <v>-2.4300456266154999E-2</v>
      </c>
    </row>
    <row r="161" spans="1:26" x14ac:dyDescent="0.3">
      <c r="A161">
        <v>20220802</v>
      </c>
      <c r="B161" s="5">
        <v>44775</v>
      </c>
      <c r="C161">
        <v>778359.49423315073</v>
      </c>
      <c r="D161" s="4">
        <v>882146.99</v>
      </c>
      <c r="E161" s="5">
        <v>44775</v>
      </c>
      <c r="F161" s="4">
        <v>20220802</v>
      </c>
      <c r="G161" s="5"/>
      <c r="H161" s="4">
        <v>1295245.7432600001</v>
      </c>
      <c r="I161" s="4">
        <v>883377.97183999792</v>
      </c>
      <c r="J161" s="4">
        <v>776969.97931999795</v>
      </c>
      <c r="K161" s="4">
        <v>976224.73995999992</v>
      </c>
      <c r="L161" s="4">
        <v>904059.49575999996</v>
      </c>
      <c r="M161" s="4">
        <v>858191.75666000007</v>
      </c>
      <c r="N161" s="4">
        <v>941733.62607999798</v>
      </c>
      <c r="O161" s="4">
        <v>1004282.4869999981</v>
      </c>
      <c r="P161" s="4">
        <v>1245181.1186599999</v>
      </c>
      <c r="Q161" s="4">
        <v>1847928.5770003991</v>
      </c>
      <c r="R161" s="4">
        <v>4</v>
      </c>
      <c r="S161" s="4">
        <v>0</v>
      </c>
      <c r="T161">
        <f t="shared" si="6"/>
        <v>-27794.172973747132</v>
      </c>
      <c r="U161">
        <f t="shared" si="7"/>
        <v>27798.172973747132</v>
      </c>
      <c r="V161">
        <v>1337717.4691999999</v>
      </c>
      <c r="W161">
        <v>2</v>
      </c>
      <c r="X161">
        <v>1405271.5012527939</v>
      </c>
      <c r="Y161">
        <v>3</v>
      </c>
      <c r="Z161">
        <f t="shared" si="8"/>
        <v>-1.3313545685713343E-2</v>
      </c>
    </row>
    <row r="162" spans="1:26" x14ac:dyDescent="0.3">
      <c r="A162">
        <v>20220803</v>
      </c>
      <c r="B162" s="5">
        <v>44776</v>
      </c>
      <c r="C162">
        <v>781887.79782050953</v>
      </c>
      <c r="D162" s="4">
        <v>886671.54319999996</v>
      </c>
      <c r="E162" s="5">
        <v>44776</v>
      </c>
      <c r="F162" s="4">
        <v>20220803</v>
      </c>
      <c r="G162" s="5"/>
      <c r="H162" s="4">
        <v>1300823.6101800001</v>
      </c>
      <c r="I162" s="4">
        <v>890514.42369999795</v>
      </c>
      <c r="J162" s="4">
        <v>779370.47541999794</v>
      </c>
      <c r="K162" s="4">
        <v>984113.43027999997</v>
      </c>
      <c r="L162" s="4">
        <v>908749.64653999987</v>
      </c>
      <c r="M162" s="4">
        <v>866612.50678000005</v>
      </c>
      <c r="N162" s="4">
        <v>944390.20825999812</v>
      </c>
      <c r="O162" s="4">
        <v>1000660.8848999981</v>
      </c>
      <c r="P162" s="4">
        <v>1264667.1247</v>
      </c>
      <c r="Q162" s="4">
        <v>1907230.4493182802</v>
      </c>
      <c r="R162" s="4">
        <v>1</v>
      </c>
      <c r="S162" s="4">
        <v>0</v>
      </c>
      <c r="T162">
        <f t="shared" si="6"/>
        <v>59301.872317881091</v>
      </c>
      <c r="U162">
        <f t="shared" si="7"/>
        <v>-59300.872317881091</v>
      </c>
      <c r="V162">
        <v>1337717.4691999999</v>
      </c>
      <c r="W162">
        <v>0</v>
      </c>
      <c r="X162">
        <v>1430725.7440268812</v>
      </c>
      <c r="Y162">
        <v>3</v>
      </c>
      <c r="Z162">
        <f t="shared" si="8"/>
        <v>1.8113398550667882E-2</v>
      </c>
    </row>
    <row r="163" spans="1:26" x14ac:dyDescent="0.3">
      <c r="A163">
        <v>20220804</v>
      </c>
      <c r="B163" s="5">
        <v>44777</v>
      </c>
      <c r="C163">
        <v>794555.16203299956</v>
      </c>
      <c r="D163" s="4">
        <v>902851.82109999994</v>
      </c>
      <c r="E163" s="5">
        <v>44777</v>
      </c>
      <c r="F163" s="4">
        <v>20220804</v>
      </c>
      <c r="G163" s="5"/>
      <c r="H163" s="4">
        <v>1312704.4982400001</v>
      </c>
      <c r="I163" s="4">
        <v>886231.07621999795</v>
      </c>
      <c r="J163" s="4">
        <v>791983.83293999801</v>
      </c>
      <c r="K163" s="4">
        <v>1004696.13278</v>
      </c>
      <c r="L163" s="4">
        <v>926605.85964000004</v>
      </c>
      <c r="M163" s="4">
        <v>887029.33819999988</v>
      </c>
      <c r="N163" s="4">
        <v>971077.03725999803</v>
      </c>
      <c r="O163" s="4">
        <v>1019204.317079998</v>
      </c>
      <c r="P163" s="4">
        <v>1277145.3181799999</v>
      </c>
      <c r="Q163" s="4">
        <v>1904880.5493867691</v>
      </c>
      <c r="R163" s="4">
        <v>1</v>
      </c>
      <c r="S163" s="4">
        <v>0</v>
      </c>
      <c r="T163">
        <f t="shared" si="6"/>
        <v>-2349.8999315111432</v>
      </c>
      <c r="U163">
        <f t="shared" si="7"/>
        <v>2350.8999315111432</v>
      </c>
      <c r="V163">
        <v>1336069.2748</v>
      </c>
      <c r="W163">
        <v>1</v>
      </c>
      <c r="X163">
        <v>1450228.6431113291</v>
      </c>
      <c r="Y163">
        <v>2</v>
      </c>
      <c r="Z163">
        <f t="shared" si="8"/>
        <v>1.3631472814318391E-2</v>
      </c>
    </row>
    <row r="164" spans="1:26" x14ac:dyDescent="0.3">
      <c r="A164">
        <v>20220805</v>
      </c>
      <c r="B164" s="5">
        <v>44778</v>
      </c>
      <c r="C164">
        <v>792198.51142240968</v>
      </c>
      <c r="D164" s="4">
        <v>910329.72840000002</v>
      </c>
      <c r="E164" s="5">
        <v>44778</v>
      </c>
      <c r="F164" s="4">
        <v>20220805</v>
      </c>
      <c r="G164" s="5"/>
      <c r="H164" s="4">
        <v>1327245.3653000002</v>
      </c>
      <c r="I164" s="4">
        <v>877892.41987999808</v>
      </c>
      <c r="J164" s="4">
        <v>790269.82893999794</v>
      </c>
      <c r="K164" s="4">
        <v>1014509.4512</v>
      </c>
      <c r="L164" s="4">
        <v>938536.1195599999</v>
      </c>
      <c r="M164" s="4">
        <v>904360.14538</v>
      </c>
      <c r="N164" s="4">
        <v>980974.099739998</v>
      </c>
      <c r="O164" s="4">
        <v>1028143.189119998</v>
      </c>
      <c r="P164" s="4">
        <v>1319532.95126</v>
      </c>
      <c r="Q164" s="4">
        <v>1916621.2234577606</v>
      </c>
      <c r="R164" s="4">
        <v>1</v>
      </c>
      <c r="S164" s="4">
        <v>0</v>
      </c>
      <c r="T164">
        <f t="shared" si="6"/>
        <v>11740.674070991576</v>
      </c>
      <c r="U164">
        <f t="shared" si="7"/>
        <v>-11739.674070991576</v>
      </c>
      <c r="V164">
        <v>1344303.8308000001</v>
      </c>
      <c r="W164">
        <v>1</v>
      </c>
      <c r="X164">
        <v>1513539.7095921766</v>
      </c>
      <c r="Y164">
        <v>2</v>
      </c>
      <c r="Z164">
        <f t="shared" si="8"/>
        <v>4.3655920589886849E-2</v>
      </c>
    </row>
    <row r="165" spans="1:26" x14ac:dyDescent="0.3">
      <c r="A165">
        <v>20220808</v>
      </c>
      <c r="B165" s="5">
        <v>44781</v>
      </c>
      <c r="C165">
        <v>797845.30241182854</v>
      </c>
      <c r="D165" s="4">
        <v>918046.27989999996</v>
      </c>
      <c r="E165" s="5">
        <v>44781</v>
      </c>
      <c r="F165" s="4">
        <v>20220808</v>
      </c>
      <c r="G165" s="5"/>
      <c r="H165" s="4">
        <v>1362248.9932600001</v>
      </c>
      <c r="I165" s="4">
        <v>859919.33095999807</v>
      </c>
      <c r="J165" s="4">
        <v>793492.07261999801</v>
      </c>
      <c r="K165" s="4">
        <v>1049991.9111800001</v>
      </c>
      <c r="L165" s="4">
        <v>947074.31901999994</v>
      </c>
      <c r="M165" s="4">
        <v>913274.61994</v>
      </c>
      <c r="N165" s="4">
        <v>981993.96069999808</v>
      </c>
      <c r="O165" s="4">
        <v>1068093.603759998</v>
      </c>
      <c r="P165" s="4">
        <v>1328673.6375199999</v>
      </c>
      <c r="Q165" s="4">
        <v>1898995.9461268978</v>
      </c>
      <c r="R165" s="4">
        <v>4</v>
      </c>
      <c r="S165" s="4">
        <v>0</v>
      </c>
      <c r="T165">
        <f t="shared" si="6"/>
        <v>-17625.277330862824</v>
      </c>
      <c r="U165">
        <f t="shared" si="7"/>
        <v>17629.277330862824</v>
      </c>
      <c r="V165">
        <v>1405678.4966</v>
      </c>
      <c r="W165">
        <v>1</v>
      </c>
      <c r="X165">
        <v>1528966.0721947812</v>
      </c>
      <c r="Y165">
        <v>2</v>
      </c>
      <c r="Z165">
        <f t="shared" si="8"/>
        <v>1.0192241739571662E-2</v>
      </c>
    </row>
    <row r="166" spans="1:26" x14ac:dyDescent="0.3">
      <c r="A166">
        <v>20220809</v>
      </c>
      <c r="B166" s="5">
        <v>44782</v>
      </c>
      <c r="C166">
        <v>787110.29386787745</v>
      </c>
      <c r="D166" s="4">
        <v>915574.25619999995</v>
      </c>
      <c r="E166" s="5">
        <v>44782</v>
      </c>
      <c r="F166" s="4">
        <v>20220809</v>
      </c>
      <c r="G166" s="5"/>
      <c r="H166" s="4">
        <v>1345306.5674399999</v>
      </c>
      <c r="I166" s="4">
        <v>852364.29209999798</v>
      </c>
      <c r="J166" s="4">
        <v>803732.51077999803</v>
      </c>
      <c r="K166" s="4">
        <v>1045803.61176</v>
      </c>
      <c r="L166" s="4">
        <v>950480.97259999998</v>
      </c>
      <c r="M166" s="4">
        <v>914969.56067999988</v>
      </c>
      <c r="N166" s="4">
        <v>980033.41833999811</v>
      </c>
      <c r="O166" s="4">
        <v>1100088.7701999978</v>
      </c>
      <c r="P166" s="4">
        <v>1306300.5374399999</v>
      </c>
      <c r="Q166" s="4">
        <v>1866988.0917603893</v>
      </c>
      <c r="R166" s="4">
        <v>4</v>
      </c>
      <c r="S166" s="4">
        <v>0</v>
      </c>
      <c r="T166">
        <f t="shared" si="6"/>
        <v>-32007.854366508545</v>
      </c>
      <c r="U166">
        <f t="shared" si="7"/>
        <v>32011.854366508545</v>
      </c>
      <c r="V166">
        <v>1405678.4966</v>
      </c>
      <c r="W166">
        <v>0</v>
      </c>
      <c r="X166">
        <v>1486464.191854456</v>
      </c>
      <c r="Y166">
        <v>2</v>
      </c>
      <c r="Z166">
        <f t="shared" si="8"/>
        <v>-2.7797791666701349E-2</v>
      </c>
    </row>
    <row r="167" spans="1:26" x14ac:dyDescent="0.3">
      <c r="A167">
        <v>20220810</v>
      </c>
      <c r="B167" s="5">
        <v>44783</v>
      </c>
      <c r="C167">
        <v>805722.3038766773</v>
      </c>
      <c r="D167" s="4">
        <v>922392.59109999996</v>
      </c>
      <c r="E167" s="5">
        <v>44783</v>
      </c>
      <c r="F167" s="4">
        <v>20220810</v>
      </c>
      <c r="G167" s="5"/>
      <c r="H167" s="4">
        <v>1345282.8255400001</v>
      </c>
      <c r="I167" s="4">
        <v>868263.21817999799</v>
      </c>
      <c r="J167" s="4">
        <v>800884.34335999796</v>
      </c>
      <c r="K167" s="4">
        <v>1067886.47588</v>
      </c>
      <c r="L167" s="4">
        <v>959345.35441999999</v>
      </c>
      <c r="M167" s="4">
        <v>924223.38313999993</v>
      </c>
      <c r="N167" s="4">
        <v>980887.74453999789</v>
      </c>
      <c r="O167" s="4">
        <v>1115860.911579998</v>
      </c>
      <c r="P167" s="4">
        <v>1330343.22214</v>
      </c>
      <c r="Q167" s="4">
        <v>1920448.4083386722</v>
      </c>
      <c r="R167" s="4">
        <v>3</v>
      </c>
      <c r="S167" s="4">
        <v>0</v>
      </c>
      <c r="T167">
        <f t="shared" si="6"/>
        <v>53460.316578282975</v>
      </c>
      <c r="U167">
        <f t="shared" si="7"/>
        <v>-53457.316578282975</v>
      </c>
      <c r="V167">
        <v>1431371.5109999999</v>
      </c>
      <c r="W167">
        <v>2</v>
      </c>
      <c r="X167">
        <v>1529028.5561497316</v>
      </c>
      <c r="Y167">
        <v>3</v>
      </c>
      <c r="Z167">
        <f t="shared" si="8"/>
        <v>2.863463817596169E-2</v>
      </c>
    </row>
    <row r="168" spans="1:26" x14ac:dyDescent="0.3">
      <c r="A168">
        <v>20220811</v>
      </c>
      <c r="B168" s="5">
        <v>44784</v>
      </c>
      <c r="C168">
        <v>796631.3391220367</v>
      </c>
      <c r="D168" s="4">
        <v>905773.75060000003</v>
      </c>
      <c r="E168" s="5">
        <v>44784</v>
      </c>
      <c r="F168" s="4">
        <v>20220811</v>
      </c>
      <c r="G168" s="5"/>
      <c r="H168" s="4">
        <v>1330825.0610799999</v>
      </c>
      <c r="I168" s="4">
        <v>841958.126479998</v>
      </c>
      <c r="J168" s="4">
        <v>801007.19339999801</v>
      </c>
      <c r="K168" s="4">
        <v>1080775.8506</v>
      </c>
      <c r="L168" s="4">
        <v>950521.78599999996</v>
      </c>
      <c r="M168" s="4">
        <v>907201.66415999993</v>
      </c>
      <c r="N168" s="4">
        <v>967670.88629999792</v>
      </c>
      <c r="O168" s="4">
        <v>1152226.800339998</v>
      </c>
      <c r="P168" s="4">
        <v>1306924.89234</v>
      </c>
      <c r="Q168" s="4">
        <v>1893993.4209042045</v>
      </c>
      <c r="R168" s="4">
        <v>3</v>
      </c>
      <c r="S168" s="4">
        <v>0</v>
      </c>
      <c r="T168">
        <f t="shared" si="6"/>
        <v>-26454.987434467766</v>
      </c>
      <c r="U168">
        <f t="shared" si="7"/>
        <v>26457.987434467766</v>
      </c>
      <c r="V168">
        <v>1414061.0164000001</v>
      </c>
      <c r="W168">
        <v>2</v>
      </c>
      <c r="X168">
        <v>1510536.8796554368</v>
      </c>
      <c r="Y168">
        <v>2</v>
      </c>
      <c r="Z168">
        <f t="shared" si="8"/>
        <v>-1.2093741755130413E-2</v>
      </c>
    </row>
    <row r="169" spans="1:26" x14ac:dyDescent="0.3">
      <c r="A169">
        <v>20220812</v>
      </c>
      <c r="B169" s="5">
        <v>44785</v>
      </c>
      <c r="C169">
        <v>804837.43854633276</v>
      </c>
      <c r="D169" s="4">
        <v>907078.81910000101</v>
      </c>
      <c r="E169" s="5">
        <v>44785</v>
      </c>
      <c r="F169" s="4">
        <v>20220812</v>
      </c>
      <c r="G169" s="5"/>
      <c r="H169" s="4">
        <v>1307364.0824799999</v>
      </c>
      <c r="I169" s="4">
        <v>837102.90787999798</v>
      </c>
      <c r="J169" s="4">
        <v>816961.72711999796</v>
      </c>
      <c r="K169" s="4">
        <v>1087914.8073999998</v>
      </c>
      <c r="L169" s="4">
        <v>958300.07985999994</v>
      </c>
      <c r="M169" s="4">
        <v>913805.06537999993</v>
      </c>
      <c r="N169" s="4">
        <v>973813.36181999801</v>
      </c>
      <c r="O169" s="4">
        <v>1145383.3752199979</v>
      </c>
      <c r="P169" s="4">
        <v>1369715.6446199999</v>
      </c>
      <c r="Q169" s="4">
        <v>1929964.3394703625</v>
      </c>
      <c r="R169" s="4">
        <v>2</v>
      </c>
      <c r="S169" s="4">
        <v>0</v>
      </c>
      <c r="T169">
        <f t="shared" si="6"/>
        <v>35970.918566158041</v>
      </c>
      <c r="U169">
        <f t="shared" si="7"/>
        <v>-35968.918566158041</v>
      </c>
      <c r="V169">
        <v>1482357.2198000001</v>
      </c>
      <c r="W169">
        <v>4</v>
      </c>
      <c r="X169">
        <v>1539225.1641379069</v>
      </c>
      <c r="Y169">
        <v>2</v>
      </c>
      <c r="Z169">
        <f t="shared" si="8"/>
        <v>1.8992111261139151E-2</v>
      </c>
    </row>
    <row r="170" spans="1:26" x14ac:dyDescent="0.3">
      <c r="A170">
        <v>20220815</v>
      </c>
      <c r="B170" s="5">
        <v>44788</v>
      </c>
      <c r="C170">
        <v>808613.73580799229</v>
      </c>
      <c r="D170" s="4">
        <v>898925.38650000095</v>
      </c>
      <c r="E170" s="5">
        <v>44788</v>
      </c>
      <c r="F170" s="4">
        <v>20220815</v>
      </c>
      <c r="G170" s="5"/>
      <c r="H170" s="4">
        <v>1328258.7558599999</v>
      </c>
      <c r="I170" s="4">
        <v>849265.67099999799</v>
      </c>
      <c r="J170" s="4">
        <v>795478.52295999799</v>
      </c>
      <c r="K170" s="4">
        <v>1108754.2382</v>
      </c>
      <c r="L170" s="4">
        <v>952035.69609999994</v>
      </c>
      <c r="M170" s="4">
        <v>916227.90396000003</v>
      </c>
      <c r="N170" s="4">
        <v>962827.26147999801</v>
      </c>
      <c r="O170" s="4">
        <v>1134053.1810199979</v>
      </c>
      <c r="P170" s="4">
        <v>1339281.39102</v>
      </c>
      <c r="Q170" s="4">
        <v>1916977.1200907247</v>
      </c>
      <c r="R170" s="4">
        <v>1</v>
      </c>
      <c r="S170" s="4">
        <v>0</v>
      </c>
      <c r="T170">
        <f t="shared" si="6"/>
        <v>-12987.219379637856</v>
      </c>
      <c r="U170">
        <f t="shared" si="7"/>
        <v>12988.219379637856</v>
      </c>
      <c r="V170">
        <v>1482357.2198000001</v>
      </c>
      <c r="W170">
        <v>0</v>
      </c>
      <c r="X170">
        <v>1504084.6586061509</v>
      </c>
      <c r="Y170">
        <v>2</v>
      </c>
      <c r="Z170">
        <f t="shared" si="8"/>
        <v>-2.2829996774018153E-2</v>
      </c>
    </row>
    <row r="171" spans="1:26" x14ac:dyDescent="0.3">
      <c r="A171">
        <v>20220816</v>
      </c>
      <c r="B171" s="5">
        <v>44789</v>
      </c>
      <c r="C171">
        <v>822372.29852276517</v>
      </c>
      <c r="D171" s="4">
        <v>895225.56190000102</v>
      </c>
      <c r="E171" s="5">
        <v>44789</v>
      </c>
      <c r="F171" s="4">
        <v>20220816</v>
      </c>
      <c r="G171" s="5"/>
      <c r="H171" s="4">
        <v>1360852.62934</v>
      </c>
      <c r="I171" s="4">
        <v>856019.75779999793</v>
      </c>
      <c r="J171" s="4">
        <v>789460.57207999798</v>
      </c>
      <c r="K171" s="4">
        <v>1095384.54262</v>
      </c>
      <c r="L171" s="4">
        <v>948269.80346000008</v>
      </c>
      <c r="M171" s="4">
        <v>913625.35629999987</v>
      </c>
      <c r="N171" s="4">
        <v>954425.66709999996</v>
      </c>
      <c r="O171" s="4">
        <v>1128872.286699998</v>
      </c>
      <c r="P171" s="4">
        <v>1341725.97908</v>
      </c>
      <c r="Q171" s="4">
        <v>1982592.0976506141</v>
      </c>
      <c r="R171" s="4">
        <v>1</v>
      </c>
      <c r="S171" s="4">
        <v>0</v>
      </c>
      <c r="T171">
        <f t="shared" si="6"/>
        <v>65614.977559889434</v>
      </c>
      <c r="U171">
        <f t="shared" si="7"/>
        <v>-65613.977559889434</v>
      </c>
      <c r="V171">
        <v>1477450.4890000001</v>
      </c>
      <c r="W171">
        <v>2</v>
      </c>
      <c r="X171">
        <v>1501402.0640750048</v>
      </c>
      <c r="Y171">
        <v>3</v>
      </c>
      <c r="Z171">
        <f t="shared" si="8"/>
        <v>-1.7835395872145229E-3</v>
      </c>
    </row>
    <row r="172" spans="1:26" x14ac:dyDescent="0.3">
      <c r="A172">
        <v>20220817</v>
      </c>
      <c r="B172" s="5">
        <v>44790</v>
      </c>
      <c r="C172">
        <v>821740.71659749968</v>
      </c>
      <c r="D172" s="4">
        <v>892133.27150000096</v>
      </c>
      <c r="E172" s="5">
        <v>44790</v>
      </c>
      <c r="F172" s="4">
        <v>20220817</v>
      </c>
      <c r="G172" s="5"/>
      <c r="H172" s="4">
        <v>1377417.94294</v>
      </c>
      <c r="I172" s="4">
        <v>860975.49557999801</v>
      </c>
      <c r="J172" s="4">
        <v>787043.07401999808</v>
      </c>
      <c r="K172" s="4">
        <v>1083947.0354599999</v>
      </c>
      <c r="L172" s="4">
        <v>951079.40656000003</v>
      </c>
      <c r="M172" s="4">
        <v>917725.48655999987</v>
      </c>
      <c r="N172" s="4">
        <v>953044.01158000005</v>
      </c>
      <c r="O172" s="4">
        <v>1164402.383599998</v>
      </c>
      <c r="P172" s="4">
        <v>1386559.79296</v>
      </c>
      <c r="Q172" s="4">
        <v>2083932.5247821603</v>
      </c>
      <c r="R172" s="4">
        <v>1</v>
      </c>
      <c r="S172" s="4">
        <v>0</v>
      </c>
      <c r="T172">
        <f t="shared" si="6"/>
        <v>101340.4271315462</v>
      </c>
      <c r="U172">
        <f t="shared" si="7"/>
        <v>-101339.4271315462</v>
      </c>
      <c r="V172">
        <v>1590710.2666</v>
      </c>
      <c r="W172">
        <v>2</v>
      </c>
      <c r="X172">
        <v>1570571.3720022752</v>
      </c>
      <c r="Y172">
        <v>3</v>
      </c>
      <c r="Z172">
        <f t="shared" si="8"/>
        <v>4.6069810067754749E-2</v>
      </c>
    </row>
    <row r="173" spans="1:26" x14ac:dyDescent="0.3">
      <c r="A173">
        <v>20220818</v>
      </c>
      <c r="B173" s="5">
        <v>44791</v>
      </c>
      <c r="C173">
        <v>809411.31888567086</v>
      </c>
      <c r="D173" s="4">
        <v>879807.83220000099</v>
      </c>
      <c r="E173" s="5">
        <v>44791</v>
      </c>
      <c r="F173" s="4">
        <v>20220818</v>
      </c>
      <c r="G173" s="5"/>
      <c r="H173" s="4">
        <v>1306728.5547</v>
      </c>
      <c r="I173" s="4">
        <v>844780.21267999802</v>
      </c>
      <c r="J173" s="4">
        <v>791006.821119998</v>
      </c>
      <c r="K173" s="4">
        <v>1052473.5227399999</v>
      </c>
      <c r="L173" s="4">
        <v>931596.05998000002</v>
      </c>
      <c r="M173" s="4">
        <v>891206.36057999986</v>
      </c>
      <c r="N173" s="4">
        <v>934625.4609200001</v>
      </c>
      <c r="O173" s="4">
        <v>1152993.900079998</v>
      </c>
      <c r="P173" s="4">
        <v>1350690.6832000001</v>
      </c>
      <c r="Q173" s="4">
        <v>2083932.5247821603</v>
      </c>
      <c r="R173" s="4">
        <v>0</v>
      </c>
      <c r="S173" s="4">
        <v>0</v>
      </c>
      <c r="T173">
        <f t="shared" si="6"/>
        <v>0</v>
      </c>
      <c r="U173">
        <f t="shared" si="7"/>
        <v>0</v>
      </c>
      <c r="V173">
        <v>1549461.4728000001</v>
      </c>
      <c r="W173">
        <v>4</v>
      </c>
      <c r="X173">
        <v>1534763.0202128137</v>
      </c>
      <c r="Y173">
        <v>3</v>
      </c>
      <c r="Z173">
        <f t="shared" si="8"/>
        <v>-2.2799569906721551E-2</v>
      </c>
    </row>
    <row r="174" spans="1:26" x14ac:dyDescent="0.3">
      <c r="A174">
        <v>20220819</v>
      </c>
      <c r="B174" s="5">
        <v>44792</v>
      </c>
      <c r="C174">
        <v>822659.76335319155</v>
      </c>
      <c r="D174" s="4">
        <v>883250.20000000298</v>
      </c>
      <c r="E174" s="5">
        <v>44792</v>
      </c>
      <c r="F174" s="4">
        <v>20220819</v>
      </c>
      <c r="G174" s="5"/>
      <c r="H174" s="4">
        <v>1305109.6878</v>
      </c>
      <c r="I174" s="4">
        <v>874205.01413999801</v>
      </c>
      <c r="J174" s="4">
        <v>808190.87723999796</v>
      </c>
      <c r="K174" s="4">
        <v>1063803.2016799999</v>
      </c>
      <c r="L174" s="4">
        <v>942927.37849999999</v>
      </c>
      <c r="M174" s="4">
        <v>899284.87473999802</v>
      </c>
      <c r="N174" s="4">
        <v>947102.06253999996</v>
      </c>
      <c r="O174" s="4">
        <v>1169795.0982999981</v>
      </c>
      <c r="P174" s="4">
        <v>1349529.1229399999</v>
      </c>
      <c r="Q174" s="4">
        <v>2063967.5167587935</v>
      </c>
      <c r="R174" s="4">
        <v>3</v>
      </c>
      <c r="S174" s="4">
        <v>0</v>
      </c>
      <c r="T174">
        <f t="shared" si="6"/>
        <v>-19965.008023366798</v>
      </c>
      <c r="U174">
        <f t="shared" si="7"/>
        <v>19968.008023366798</v>
      </c>
      <c r="V174">
        <v>1549461.4728000001</v>
      </c>
      <c r="W174">
        <v>0</v>
      </c>
      <c r="X174">
        <v>1520055.1378144536</v>
      </c>
      <c r="Y174">
        <v>3</v>
      </c>
      <c r="Z174">
        <f t="shared" si="8"/>
        <v>-9.5831618332325643E-3</v>
      </c>
    </row>
    <row r="175" spans="1:26" x14ac:dyDescent="0.3">
      <c r="A175">
        <v>20220822</v>
      </c>
      <c r="B175" s="5">
        <v>44795</v>
      </c>
      <c r="C175">
        <v>823028.31492717378</v>
      </c>
      <c r="D175" s="4">
        <v>879249.74430000305</v>
      </c>
      <c r="E175" s="5">
        <v>44795</v>
      </c>
      <c r="F175" s="4">
        <v>20220822</v>
      </c>
      <c r="G175" s="5"/>
      <c r="H175" s="4">
        <v>1340054.4572000001</v>
      </c>
      <c r="I175" s="4">
        <v>865353.16613999789</v>
      </c>
      <c r="J175" s="4">
        <v>785521.95339999802</v>
      </c>
      <c r="K175" s="4">
        <v>1050528.3887399998</v>
      </c>
      <c r="L175" s="4">
        <v>936535.79612000007</v>
      </c>
      <c r="M175" s="4">
        <v>895215.50346000004</v>
      </c>
      <c r="N175" s="4">
        <v>938157.91630000004</v>
      </c>
      <c r="O175" s="4">
        <v>1155917.753319998</v>
      </c>
      <c r="P175" s="4">
        <v>1343056.4694000001</v>
      </c>
      <c r="Q175" s="4">
        <v>2053536.596211069</v>
      </c>
      <c r="R175" s="4">
        <v>3</v>
      </c>
      <c r="S175" s="4">
        <v>0</v>
      </c>
      <c r="T175">
        <f t="shared" si="6"/>
        <v>-10430.920547724469</v>
      </c>
      <c r="U175">
        <f t="shared" si="7"/>
        <v>10433.920547724469</v>
      </c>
      <c r="V175">
        <v>1542015.9704</v>
      </c>
      <c r="W175">
        <v>4</v>
      </c>
      <c r="X175">
        <v>1512373.2873100149</v>
      </c>
      <c r="Y175">
        <v>3</v>
      </c>
      <c r="Z175">
        <f t="shared" si="8"/>
        <v>-5.0536656949718593E-3</v>
      </c>
    </row>
    <row r="176" spans="1:26" x14ac:dyDescent="0.3">
      <c r="A176">
        <v>20220823</v>
      </c>
      <c r="B176" s="5">
        <v>44796</v>
      </c>
      <c r="C176">
        <v>793040.45524448738</v>
      </c>
      <c r="D176" s="4">
        <v>857858.98740000406</v>
      </c>
      <c r="E176" s="5">
        <v>44796</v>
      </c>
      <c r="F176" s="4">
        <v>20220823</v>
      </c>
      <c r="G176" s="5"/>
      <c r="H176" s="4">
        <v>1293949.6676999999</v>
      </c>
      <c r="I176" s="4">
        <v>830691.680479998</v>
      </c>
      <c r="J176" s="4">
        <v>762980.55467999796</v>
      </c>
      <c r="K176" s="4">
        <v>1000119.0895199999</v>
      </c>
      <c r="L176" s="4">
        <v>899938.97824000008</v>
      </c>
      <c r="M176" s="4">
        <v>863396.46893999795</v>
      </c>
      <c r="N176" s="4">
        <v>902446.14162000013</v>
      </c>
      <c r="O176" s="4">
        <v>1089861.466199998</v>
      </c>
      <c r="P176" s="4">
        <v>1320123.45716</v>
      </c>
      <c r="Q176" s="4">
        <v>2000341.9308055867</v>
      </c>
      <c r="R176" s="4">
        <v>3</v>
      </c>
      <c r="S176" s="4">
        <v>0</v>
      </c>
      <c r="T176">
        <f t="shared" si="6"/>
        <v>-53194.665405482287</v>
      </c>
      <c r="U176">
        <f t="shared" si="7"/>
        <v>53197.665405482287</v>
      </c>
      <c r="V176">
        <v>1526086.5898</v>
      </c>
      <c r="W176">
        <v>2</v>
      </c>
      <c r="X176">
        <v>1473196.7708894282</v>
      </c>
      <c r="Y176">
        <v>3</v>
      </c>
      <c r="Z176">
        <f t="shared" si="8"/>
        <v>-2.5903999197359605E-2</v>
      </c>
    </row>
    <row r="177" spans="1:26" x14ac:dyDescent="0.3">
      <c r="A177">
        <v>20220824</v>
      </c>
      <c r="B177" s="5">
        <v>44797</v>
      </c>
      <c r="C177">
        <v>789550.28420095635</v>
      </c>
      <c r="D177" s="4">
        <v>854596.07150000404</v>
      </c>
      <c r="E177" s="5">
        <v>44797</v>
      </c>
      <c r="F177" s="4">
        <v>20220824</v>
      </c>
      <c r="G177" s="5"/>
      <c r="H177" s="4">
        <v>1259490.5193</v>
      </c>
      <c r="I177" s="4">
        <v>841660.75851999805</v>
      </c>
      <c r="J177" s="4">
        <v>747968.94623999798</v>
      </c>
      <c r="K177" s="4">
        <v>1001748.5697000001</v>
      </c>
      <c r="L177" s="4">
        <v>891392.85223999992</v>
      </c>
      <c r="M177" s="4">
        <v>851162.90953999793</v>
      </c>
      <c r="N177" s="4">
        <v>887642.91026000003</v>
      </c>
      <c r="O177" s="4">
        <v>1124132.2026599981</v>
      </c>
      <c r="P177" s="4">
        <v>1393325.6355599998</v>
      </c>
      <c r="Q177" s="4">
        <v>2126263.0625185827</v>
      </c>
      <c r="R177" s="4">
        <v>3</v>
      </c>
      <c r="S177" s="4">
        <v>0</v>
      </c>
      <c r="T177">
        <f t="shared" si="6"/>
        <v>125921.13171299594</v>
      </c>
      <c r="U177">
        <f t="shared" si="7"/>
        <v>-125918.13171299594</v>
      </c>
      <c r="V177">
        <v>1550115.2601999999</v>
      </c>
      <c r="W177">
        <v>2</v>
      </c>
      <c r="X177">
        <v>1565933.0818602797</v>
      </c>
      <c r="Y177">
        <v>3</v>
      </c>
      <c r="Z177">
        <f t="shared" si="8"/>
        <v>6.2949032202169991E-2</v>
      </c>
    </row>
    <row r="178" spans="1:26" x14ac:dyDescent="0.3">
      <c r="A178">
        <v>20220825</v>
      </c>
      <c r="B178" s="5">
        <v>44798</v>
      </c>
      <c r="C178">
        <v>781542.66521859018</v>
      </c>
      <c r="D178" s="4">
        <v>851997.85640000203</v>
      </c>
      <c r="E178" s="5">
        <v>44798</v>
      </c>
      <c r="F178" s="4">
        <v>20220825</v>
      </c>
      <c r="G178" s="5"/>
      <c r="H178" s="4">
        <v>1227199.88876</v>
      </c>
      <c r="I178" s="4">
        <v>854582.84079999791</v>
      </c>
      <c r="J178" s="4">
        <v>743827.59731999808</v>
      </c>
      <c r="K178" s="4">
        <v>991374.41943999997</v>
      </c>
      <c r="L178" s="4">
        <v>883396.75636000209</v>
      </c>
      <c r="M178" s="4">
        <v>841416.95981999801</v>
      </c>
      <c r="N178" s="4">
        <v>877880.02897999994</v>
      </c>
      <c r="O178" s="4">
        <v>1123534.692619998</v>
      </c>
      <c r="P178" s="4">
        <v>1374760.3180199999</v>
      </c>
      <c r="Q178" s="4">
        <v>2088854.8489874066</v>
      </c>
      <c r="R178" s="4">
        <v>1</v>
      </c>
      <c r="S178" s="4">
        <v>0</v>
      </c>
      <c r="T178">
        <f t="shared" si="6"/>
        <v>-37408.213531176094</v>
      </c>
      <c r="U178">
        <f t="shared" si="7"/>
        <v>37409.213531176094</v>
      </c>
      <c r="V178">
        <v>1550115.2601999999</v>
      </c>
      <c r="W178">
        <v>0</v>
      </c>
      <c r="X178">
        <v>1540583.36143967</v>
      </c>
      <c r="Y178">
        <v>3</v>
      </c>
      <c r="Z178">
        <f t="shared" si="8"/>
        <v>-1.6188252687333878E-2</v>
      </c>
    </row>
    <row r="179" spans="1:26" x14ac:dyDescent="0.3">
      <c r="A179">
        <v>20220826</v>
      </c>
      <c r="B179" s="5">
        <v>44799</v>
      </c>
      <c r="C179">
        <v>778633.76341864653</v>
      </c>
      <c r="D179" s="4">
        <v>852807.45700000494</v>
      </c>
      <c r="E179" s="5">
        <v>44799</v>
      </c>
      <c r="F179" s="4">
        <v>20220826</v>
      </c>
      <c r="G179" s="5"/>
      <c r="H179" s="4">
        <v>1235937.3898</v>
      </c>
      <c r="I179" s="4">
        <v>933982.31623999798</v>
      </c>
      <c r="J179" s="4">
        <v>777045.718119998</v>
      </c>
      <c r="K179" s="4">
        <v>1002411.41744</v>
      </c>
      <c r="L179" s="4">
        <v>887077.08516000002</v>
      </c>
      <c r="M179" s="4">
        <v>851039.09013999999</v>
      </c>
      <c r="N179" s="4">
        <v>881513.06493999995</v>
      </c>
      <c r="O179" s="4">
        <v>1137347.2775199979</v>
      </c>
      <c r="P179" s="4">
        <v>1440583.8251</v>
      </c>
      <c r="Q179" s="4">
        <v>2033100.7469661438</v>
      </c>
      <c r="R179" s="4">
        <v>1</v>
      </c>
      <c r="S179" s="4">
        <v>0</v>
      </c>
      <c r="T179">
        <f t="shared" si="6"/>
        <v>-55754.102021262748</v>
      </c>
      <c r="U179">
        <f t="shared" si="7"/>
        <v>55755.102021262748</v>
      </c>
      <c r="V179">
        <v>1550115.2601999999</v>
      </c>
      <c r="W179">
        <v>0</v>
      </c>
      <c r="X179">
        <v>1499463.3724883595</v>
      </c>
      <c r="Y179">
        <v>1</v>
      </c>
      <c r="Z179">
        <f t="shared" si="8"/>
        <v>-2.6691180743951451E-2</v>
      </c>
    </row>
    <row r="180" spans="1:26" x14ac:dyDescent="0.3">
      <c r="A180">
        <v>20220829</v>
      </c>
      <c r="B180" s="5">
        <v>44802</v>
      </c>
      <c r="C180">
        <v>773185.66297600628</v>
      </c>
      <c r="D180" s="4">
        <v>852620.16720000398</v>
      </c>
      <c r="E180" s="5">
        <v>44802</v>
      </c>
      <c r="F180" s="4">
        <v>20220829</v>
      </c>
      <c r="G180" s="5"/>
      <c r="H180" s="4">
        <v>1253917.61834</v>
      </c>
      <c r="I180" s="4">
        <v>934945.381219998</v>
      </c>
      <c r="J180" s="4">
        <v>785059.67491999804</v>
      </c>
      <c r="K180" s="4">
        <v>998875.60348000005</v>
      </c>
      <c r="L180" s="4">
        <v>879805.55238000001</v>
      </c>
      <c r="M180" s="4">
        <v>844973.3926999981</v>
      </c>
      <c r="N180" s="4">
        <v>875737.930500002</v>
      </c>
      <c r="O180" s="4">
        <v>1160496.8231599978</v>
      </c>
      <c r="P180" s="4">
        <v>1441067.8738199999</v>
      </c>
      <c r="Q180" s="4">
        <v>2033792.4019195272</v>
      </c>
      <c r="R180" s="4">
        <v>4</v>
      </c>
      <c r="S180" s="4">
        <v>0</v>
      </c>
      <c r="T180">
        <f t="shared" si="6"/>
        <v>691.65495338337496</v>
      </c>
      <c r="U180">
        <f t="shared" si="7"/>
        <v>-687.65495338337496</v>
      </c>
      <c r="V180">
        <v>1550642.5692</v>
      </c>
      <c r="W180">
        <v>4</v>
      </c>
      <c r="X180">
        <v>1485867.8987695586</v>
      </c>
      <c r="Y180">
        <v>1</v>
      </c>
      <c r="Z180">
        <f t="shared" si="8"/>
        <v>-9.0668928419632734E-3</v>
      </c>
    </row>
    <row r="181" spans="1:26" x14ac:dyDescent="0.3">
      <c r="A181">
        <v>20220830</v>
      </c>
      <c r="B181" s="5">
        <v>44803</v>
      </c>
      <c r="C181">
        <v>760822.42422501987</v>
      </c>
      <c r="D181" s="4">
        <v>846690.33420000505</v>
      </c>
      <c r="E181" s="5">
        <v>44803</v>
      </c>
      <c r="F181" s="4">
        <v>20220830</v>
      </c>
      <c r="G181" s="5"/>
      <c r="H181" s="4">
        <v>1199342.7914200001</v>
      </c>
      <c r="I181" s="4">
        <v>909466.68973999808</v>
      </c>
      <c r="J181" s="4">
        <v>765711.56459999806</v>
      </c>
      <c r="K181" s="4">
        <v>932893.46120000002</v>
      </c>
      <c r="L181" s="4">
        <v>856518.28570000012</v>
      </c>
      <c r="M181" s="4">
        <v>822968.88059999805</v>
      </c>
      <c r="N181" s="4">
        <v>856805.69910000206</v>
      </c>
      <c r="O181" s="4">
        <v>1133029.8018599979</v>
      </c>
      <c r="P181" s="4">
        <v>1402049.23364</v>
      </c>
      <c r="Q181" s="4">
        <v>1978629.3199837857</v>
      </c>
      <c r="R181" s="4">
        <v>4</v>
      </c>
      <c r="S181" s="4">
        <v>0</v>
      </c>
      <c r="T181">
        <f t="shared" si="6"/>
        <v>-55163.081935741473</v>
      </c>
      <c r="U181">
        <f t="shared" si="7"/>
        <v>55167.081935741473</v>
      </c>
      <c r="V181">
        <v>1483609.6847999999</v>
      </c>
      <c r="W181">
        <v>2</v>
      </c>
      <c r="X181">
        <v>1459205.5182464134</v>
      </c>
      <c r="Y181">
        <v>1</v>
      </c>
      <c r="Z181">
        <f t="shared" si="8"/>
        <v>-1.7943977755508555E-2</v>
      </c>
    </row>
    <row r="182" spans="1:26" x14ac:dyDescent="0.3">
      <c r="A182">
        <v>20220831</v>
      </c>
      <c r="B182" s="5">
        <v>44804</v>
      </c>
      <c r="C182">
        <v>749988.3129040557</v>
      </c>
      <c r="D182" s="4">
        <v>847303.26730000705</v>
      </c>
      <c r="E182" s="5">
        <v>44804</v>
      </c>
      <c r="F182" s="4">
        <v>20220831</v>
      </c>
      <c r="G182" s="5"/>
      <c r="H182" s="4">
        <v>1194114.5003599999</v>
      </c>
      <c r="I182" s="4">
        <v>893896.29555999802</v>
      </c>
      <c r="J182" s="4">
        <v>770763.40483999799</v>
      </c>
      <c r="K182" s="4">
        <v>913754.01111999992</v>
      </c>
      <c r="L182" s="4">
        <v>855975.74202000001</v>
      </c>
      <c r="M182" s="4">
        <v>823539.36769999797</v>
      </c>
      <c r="N182" s="4">
        <v>853975.02440000197</v>
      </c>
      <c r="O182" s="4">
        <v>1137425.8305599981</v>
      </c>
      <c r="P182" s="4">
        <v>1405258.57672</v>
      </c>
      <c r="Q182" s="4">
        <v>1956653.9094948622</v>
      </c>
      <c r="R182" s="4">
        <v>3</v>
      </c>
      <c r="S182" s="4">
        <v>0</v>
      </c>
      <c r="T182">
        <f t="shared" si="6"/>
        <v>-21975.410488923546</v>
      </c>
      <c r="U182">
        <f t="shared" si="7"/>
        <v>21978.410488923546</v>
      </c>
      <c r="V182">
        <v>1469648.2985999999</v>
      </c>
      <c r="W182">
        <v>2</v>
      </c>
      <c r="X182">
        <v>1449358.9394316014</v>
      </c>
      <c r="Y182">
        <v>1</v>
      </c>
      <c r="Z182">
        <f t="shared" si="8"/>
        <v>-6.7479040420879424E-3</v>
      </c>
    </row>
    <row r="183" spans="1:26" x14ac:dyDescent="0.3">
      <c r="A183">
        <v>20220901</v>
      </c>
      <c r="B183" s="5">
        <v>44805</v>
      </c>
      <c r="C183">
        <v>749730.31692441669</v>
      </c>
      <c r="D183" s="4">
        <v>850354.78530000697</v>
      </c>
      <c r="E183" s="5">
        <v>44805</v>
      </c>
      <c r="F183" s="4">
        <v>20220901</v>
      </c>
      <c r="G183" s="5"/>
      <c r="H183" s="4">
        <v>1217357.1280999999</v>
      </c>
      <c r="I183" s="4">
        <v>886163.71105999802</v>
      </c>
      <c r="J183" s="4">
        <v>760911.82309999806</v>
      </c>
      <c r="K183" s="4">
        <v>912334.84008000011</v>
      </c>
      <c r="L183" s="4">
        <v>859473.07833999989</v>
      </c>
      <c r="M183" s="4">
        <v>827125.38153999799</v>
      </c>
      <c r="N183" s="4">
        <v>858667.50294000213</v>
      </c>
      <c r="O183" s="4">
        <v>1139626.9602799979</v>
      </c>
      <c r="P183" s="4">
        <v>1377933.3414999999</v>
      </c>
      <c r="Q183" s="4">
        <v>1925984.3404892543</v>
      </c>
      <c r="R183" s="4">
        <v>3</v>
      </c>
      <c r="S183" s="4">
        <v>0</v>
      </c>
      <c r="T183">
        <f t="shared" si="6"/>
        <v>-30669.56900560786</v>
      </c>
      <c r="U183">
        <f t="shared" si="7"/>
        <v>30672.56900560786</v>
      </c>
      <c r="V183">
        <v>1469648.2985999999</v>
      </c>
      <c r="W183">
        <v>0</v>
      </c>
      <c r="X183">
        <v>1430794.5248013248</v>
      </c>
      <c r="Y183">
        <v>1</v>
      </c>
      <c r="Z183">
        <f t="shared" si="8"/>
        <v>-1.2808707439688521E-2</v>
      </c>
    </row>
    <row r="184" spans="1:26" x14ac:dyDescent="0.3">
      <c r="A184">
        <v>20220902</v>
      </c>
      <c r="B184" s="5">
        <v>44806</v>
      </c>
      <c r="C184">
        <v>751251.51973745623</v>
      </c>
      <c r="D184" s="4">
        <v>849764.94400000805</v>
      </c>
      <c r="E184" s="5">
        <v>44806</v>
      </c>
      <c r="F184" s="4">
        <v>20220902</v>
      </c>
      <c r="G184" s="5"/>
      <c r="H184" s="4">
        <v>1193249.1567600002</v>
      </c>
      <c r="I184" s="4">
        <v>882209.3926999981</v>
      </c>
      <c r="J184" s="4">
        <v>738352.93289999804</v>
      </c>
      <c r="K184" s="4">
        <v>898920.26567999995</v>
      </c>
      <c r="L184" s="4">
        <v>860329.21143999998</v>
      </c>
      <c r="M184" s="4">
        <v>831768.55955999799</v>
      </c>
      <c r="N184" s="4">
        <v>858658.9568600019</v>
      </c>
      <c r="O184" s="4">
        <v>1136173.8450399979</v>
      </c>
      <c r="P184" s="4">
        <v>1347960.65228</v>
      </c>
      <c r="Q184" s="4">
        <v>1878924.8399197888</v>
      </c>
      <c r="R184" s="4">
        <v>3</v>
      </c>
      <c r="S184" s="4">
        <v>0</v>
      </c>
      <c r="T184">
        <f t="shared" si="6"/>
        <v>-47059.50056946557</v>
      </c>
      <c r="U184">
        <f t="shared" si="7"/>
        <v>47062.50056946557</v>
      </c>
      <c r="V184">
        <v>1469648.2985999999</v>
      </c>
      <c r="W184">
        <v>0</v>
      </c>
      <c r="X184">
        <v>1400287.6042037876</v>
      </c>
      <c r="Y184">
        <v>1</v>
      </c>
      <c r="Z184">
        <f t="shared" si="8"/>
        <v>-2.1321664340149243E-2</v>
      </c>
    </row>
    <row r="185" spans="1:26" x14ac:dyDescent="0.3">
      <c r="A185">
        <v>20220905</v>
      </c>
      <c r="B185" s="5">
        <v>44809</v>
      </c>
      <c r="C185">
        <v>751959.19866904907</v>
      </c>
      <c r="D185" s="4">
        <v>857005.98850000801</v>
      </c>
      <c r="E185" s="5">
        <v>44809</v>
      </c>
      <c r="F185" s="4">
        <v>20220905</v>
      </c>
      <c r="G185" s="5"/>
      <c r="H185" s="4">
        <v>1226790.73758</v>
      </c>
      <c r="I185" s="4">
        <v>880197.32087999803</v>
      </c>
      <c r="J185" s="4">
        <v>747010.97985999798</v>
      </c>
      <c r="K185" s="4">
        <v>926184.26478000009</v>
      </c>
      <c r="L185" s="4">
        <v>876398.11141999997</v>
      </c>
      <c r="M185" s="4">
        <v>850166.00051999802</v>
      </c>
      <c r="N185" s="4">
        <v>873594.65490000194</v>
      </c>
      <c r="O185" s="4">
        <v>1160826.5454999979</v>
      </c>
      <c r="P185" s="4">
        <v>1367688.5894200001</v>
      </c>
      <c r="Q185" s="4">
        <v>1913140.128620289</v>
      </c>
      <c r="R185" s="4">
        <v>1</v>
      </c>
      <c r="S185" s="4">
        <v>0</v>
      </c>
      <c r="T185">
        <f t="shared" si="6"/>
        <v>34215.28870050027</v>
      </c>
      <c r="U185">
        <f t="shared" si="7"/>
        <v>-34214.28870050027</v>
      </c>
      <c r="V185">
        <v>1496410.6706000001</v>
      </c>
      <c r="W185">
        <v>1</v>
      </c>
      <c r="X185">
        <v>1425786.8943162377</v>
      </c>
      <c r="Y185">
        <v>1</v>
      </c>
      <c r="Z185">
        <f t="shared" si="8"/>
        <v>1.8210037735033067E-2</v>
      </c>
    </row>
    <row r="186" spans="1:26" x14ac:dyDescent="0.3">
      <c r="A186">
        <v>20220906</v>
      </c>
      <c r="B186" s="5">
        <v>44810</v>
      </c>
      <c r="C186">
        <v>760875.17888766795</v>
      </c>
      <c r="D186" s="4">
        <v>867695.28580000799</v>
      </c>
      <c r="E186" s="5">
        <v>44810</v>
      </c>
      <c r="F186" s="4">
        <v>20220906</v>
      </c>
      <c r="G186" s="5"/>
      <c r="H186" s="4">
        <v>1251609.5236599999</v>
      </c>
      <c r="I186" s="4">
        <v>904845.49853999796</v>
      </c>
      <c r="J186" s="4">
        <v>764434.372199998</v>
      </c>
      <c r="K186" s="4">
        <v>951137.63743999996</v>
      </c>
      <c r="L186" s="4">
        <v>895806.3236</v>
      </c>
      <c r="M186" s="4">
        <v>868772.67565999797</v>
      </c>
      <c r="N186" s="4">
        <v>892786.59392000199</v>
      </c>
      <c r="O186" s="4">
        <v>1205010.920939998</v>
      </c>
      <c r="P186" s="4">
        <v>1392760.6655999999</v>
      </c>
      <c r="Q186" s="4">
        <v>1968857.7140874462</v>
      </c>
      <c r="R186" s="4">
        <v>1</v>
      </c>
      <c r="S186" s="4">
        <v>0</v>
      </c>
      <c r="T186">
        <f t="shared" si="6"/>
        <v>55717.585467157187</v>
      </c>
      <c r="U186">
        <f t="shared" si="7"/>
        <v>-55716.585467157187</v>
      </c>
      <c r="V186">
        <v>1504488.1368</v>
      </c>
      <c r="W186">
        <v>2</v>
      </c>
      <c r="X186">
        <v>1467310.7825295308</v>
      </c>
      <c r="Y186">
        <v>1</v>
      </c>
      <c r="Z186">
        <f t="shared" si="8"/>
        <v>2.9123488495247186E-2</v>
      </c>
    </row>
    <row r="187" spans="1:26" x14ac:dyDescent="0.3">
      <c r="A187">
        <v>20220907</v>
      </c>
      <c r="B187" s="5">
        <v>44811</v>
      </c>
      <c r="C187">
        <v>746717.57443410507</v>
      </c>
      <c r="D187" s="4">
        <v>858780.84330000798</v>
      </c>
      <c r="E187" s="5">
        <v>44811</v>
      </c>
      <c r="F187" s="4">
        <v>20220907</v>
      </c>
      <c r="G187" s="5"/>
      <c r="H187" s="4">
        <v>1233100.7971399999</v>
      </c>
      <c r="I187" s="4">
        <v>884286.00873999798</v>
      </c>
      <c r="J187" s="4">
        <v>746009.74971999798</v>
      </c>
      <c r="K187" s="4">
        <v>928710.4564400001</v>
      </c>
      <c r="L187" s="4">
        <v>885908.99155999999</v>
      </c>
      <c r="M187" s="4">
        <v>855827.99637999793</v>
      </c>
      <c r="N187" s="4">
        <v>886903.36614000204</v>
      </c>
      <c r="O187" s="4">
        <v>1196362.0301399981</v>
      </c>
      <c r="P187" s="4">
        <v>1358555.94924</v>
      </c>
      <c r="Q187" s="4">
        <v>1927292.9195523837</v>
      </c>
      <c r="R187" s="4">
        <v>2</v>
      </c>
      <c r="S187" s="4">
        <v>0</v>
      </c>
      <c r="T187">
        <f t="shared" si="6"/>
        <v>-41564.794535062509</v>
      </c>
      <c r="U187">
        <f t="shared" si="7"/>
        <v>41566.794535062509</v>
      </c>
      <c r="V187">
        <v>1472726.8412000001</v>
      </c>
      <c r="W187">
        <v>2</v>
      </c>
      <c r="X187">
        <v>1450954.6568446942</v>
      </c>
      <c r="Y187">
        <v>3</v>
      </c>
      <c r="Z187">
        <f t="shared" si="8"/>
        <v>-1.1147008445368298E-2</v>
      </c>
    </row>
    <row r="188" spans="1:26" x14ac:dyDescent="0.3">
      <c r="A188">
        <v>20220908</v>
      </c>
      <c r="B188" s="5">
        <v>44812</v>
      </c>
      <c r="C188">
        <v>754166.82895665977</v>
      </c>
      <c r="D188" s="4">
        <v>867883.22560000804</v>
      </c>
      <c r="E188" s="5">
        <v>44812</v>
      </c>
      <c r="F188" s="4">
        <v>20220908</v>
      </c>
      <c r="G188" s="5"/>
      <c r="H188" s="4">
        <v>1244307.07568</v>
      </c>
      <c r="I188" s="4">
        <v>888762.31103999796</v>
      </c>
      <c r="J188" s="4">
        <v>739645.00401999801</v>
      </c>
      <c r="K188" s="4">
        <v>924542.88746000011</v>
      </c>
      <c r="L188" s="4">
        <v>888188.72136000008</v>
      </c>
      <c r="M188" s="4">
        <v>868132.21111999801</v>
      </c>
      <c r="N188" s="4">
        <v>892489.81074000208</v>
      </c>
      <c r="O188" s="4">
        <v>1218679.730199998</v>
      </c>
      <c r="P188" s="4">
        <v>1347076.9948400001</v>
      </c>
      <c r="Q188" s="4">
        <v>1910209.8340196947</v>
      </c>
      <c r="R188" s="4">
        <v>4</v>
      </c>
      <c r="S188" s="4">
        <v>0</v>
      </c>
      <c r="T188">
        <f t="shared" si="6"/>
        <v>-17083.085532689001</v>
      </c>
      <c r="U188">
        <f t="shared" si="7"/>
        <v>17087.085532689001</v>
      </c>
      <c r="V188">
        <v>1459673.8341999999</v>
      </c>
      <c r="W188">
        <v>4</v>
      </c>
      <c r="X188">
        <v>1418528.785660197</v>
      </c>
      <c r="Y188">
        <v>3</v>
      </c>
      <c r="Z188">
        <f t="shared" si="8"/>
        <v>-2.2347956244898635E-2</v>
      </c>
    </row>
    <row r="189" spans="1:26" x14ac:dyDescent="0.3">
      <c r="A189">
        <v>20220909</v>
      </c>
      <c r="B189" s="5">
        <v>44813</v>
      </c>
      <c r="C189">
        <v>754868.20410758944</v>
      </c>
      <c r="D189" s="4">
        <v>860447.15910000901</v>
      </c>
      <c r="E189" s="5">
        <v>44813</v>
      </c>
      <c r="G189" s="5"/>
      <c r="H189" s="4">
        <v>1221469.8867200001</v>
      </c>
      <c r="I189" s="4">
        <v>869649.21535999794</v>
      </c>
      <c r="J189" s="4">
        <v>724798.52329999802</v>
      </c>
      <c r="K189" s="4">
        <v>922432.38851999992</v>
      </c>
      <c r="L189" s="4">
        <v>878629.03460000013</v>
      </c>
      <c r="M189" s="4">
        <v>856441.41165999812</v>
      </c>
      <c r="N189" s="4">
        <v>888968.55054000206</v>
      </c>
      <c r="O189" s="4">
        <v>1186556.1602599979</v>
      </c>
      <c r="P189" s="4">
        <v>1341942.74814</v>
      </c>
      <c r="Q189" s="4">
        <v>1902887.9680915722</v>
      </c>
      <c r="R189" s="4">
        <v>4</v>
      </c>
      <c r="S189" s="4">
        <v>0</v>
      </c>
      <c r="T189">
        <f t="shared" si="6"/>
        <v>-7321.8659281225409</v>
      </c>
      <c r="U189">
        <f t="shared" si="7"/>
        <v>7325.8659281225409</v>
      </c>
      <c r="V189">
        <v>1454078.9810000001</v>
      </c>
      <c r="W189">
        <v>4</v>
      </c>
      <c r="X189">
        <v>1413409.9974425873</v>
      </c>
      <c r="Y189">
        <v>3</v>
      </c>
      <c r="Z189">
        <f t="shared" si="8"/>
        <v>-3.6085191004618313E-3</v>
      </c>
    </row>
    <row r="190" spans="1:26" x14ac:dyDescent="0.3">
      <c r="A190">
        <v>20220913</v>
      </c>
      <c r="B190" s="5">
        <v>44817</v>
      </c>
      <c r="C190">
        <v>741005.04953915358</v>
      </c>
      <c r="D190" s="4">
        <v>865766.09880000795</v>
      </c>
      <c r="E190" s="5">
        <v>44817</v>
      </c>
      <c r="F190" s="4">
        <v>20220913</v>
      </c>
      <c r="G190" s="5"/>
      <c r="H190" s="4">
        <v>1261728.6332800002</v>
      </c>
      <c r="I190" s="4">
        <v>893270.57423999789</v>
      </c>
      <c r="J190" s="4">
        <v>750877.32487999799</v>
      </c>
      <c r="K190" s="4">
        <v>923394.57796000002</v>
      </c>
      <c r="L190" s="4">
        <v>885796.75517999998</v>
      </c>
      <c r="M190" s="4">
        <v>868855.19879999792</v>
      </c>
      <c r="N190" s="4">
        <v>895835.65890000202</v>
      </c>
      <c r="O190" s="4">
        <v>1220067.9484799979</v>
      </c>
      <c r="P190" s="4">
        <v>1350189.34384</v>
      </c>
      <c r="Q190" s="4">
        <v>1876544.2645763338</v>
      </c>
      <c r="R190" s="4">
        <v>3</v>
      </c>
      <c r="S190" s="4">
        <v>0</v>
      </c>
      <c r="T190">
        <f t="shared" si="6"/>
        <v>-26343.703515238361</v>
      </c>
      <c r="U190">
        <f t="shared" si="7"/>
        <v>26346.703515238361</v>
      </c>
      <c r="V190">
        <v>1462880.1724</v>
      </c>
      <c r="W190">
        <v>4</v>
      </c>
      <c r="X190">
        <v>1393844.8055272512</v>
      </c>
      <c r="Y190">
        <v>3</v>
      </c>
      <c r="Z190">
        <f t="shared" si="8"/>
        <v>-1.3842545298771882E-2</v>
      </c>
    </row>
    <row r="191" spans="1:26" x14ac:dyDescent="0.3">
      <c r="A191">
        <v>20220914</v>
      </c>
      <c r="B191" s="5">
        <v>44818</v>
      </c>
      <c r="C191">
        <v>717425.52785776823</v>
      </c>
      <c r="D191" s="4">
        <v>835507.178200008</v>
      </c>
      <c r="E191" s="5">
        <v>44818</v>
      </c>
      <c r="F191" s="4">
        <v>20220914</v>
      </c>
      <c r="G191" s="5"/>
      <c r="H191" s="4">
        <v>1211279.2806600002</v>
      </c>
      <c r="I191" s="4">
        <v>849476.23375999799</v>
      </c>
      <c r="J191" s="4">
        <v>728133.94979999796</v>
      </c>
      <c r="K191" s="4">
        <v>866023.25431999995</v>
      </c>
      <c r="L191" s="4">
        <v>853472.61857999989</v>
      </c>
      <c r="M191" s="4">
        <v>835287.41675999796</v>
      </c>
      <c r="N191" s="4">
        <v>865344.91738000198</v>
      </c>
      <c r="O191" s="4">
        <v>1174743.885719998</v>
      </c>
      <c r="P191" s="4">
        <v>1307911.0922599998</v>
      </c>
      <c r="Q191" s="4">
        <v>1838327.8571628793</v>
      </c>
      <c r="R191" s="4">
        <v>3</v>
      </c>
      <c r="S191" s="4">
        <v>0</v>
      </c>
      <c r="T191">
        <f t="shared" si="6"/>
        <v>-38216.407413454494</v>
      </c>
      <c r="U191">
        <f t="shared" si="7"/>
        <v>38219.407413454494</v>
      </c>
      <c r="V191">
        <v>1462880.1724</v>
      </c>
      <c r="W191">
        <v>0</v>
      </c>
      <c r="X191">
        <v>1373956.7511998727</v>
      </c>
      <c r="Y191">
        <v>2</v>
      </c>
      <c r="Z191">
        <f t="shared" si="8"/>
        <v>-1.4268485450111097E-2</v>
      </c>
    </row>
    <row r="192" spans="1:26" x14ac:dyDescent="0.3">
      <c r="A192">
        <v>20220915</v>
      </c>
      <c r="B192" s="5">
        <v>44819</v>
      </c>
      <c r="C192">
        <v>700606.20378267067</v>
      </c>
      <c r="D192" s="4">
        <v>828591.26750000904</v>
      </c>
      <c r="E192" s="5">
        <v>44819</v>
      </c>
      <c r="F192" s="4">
        <v>20220915</v>
      </c>
      <c r="G192" s="5"/>
      <c r="H192" s="4">
        <v>1190110.43334</v>
      </c>
      <c r="I192" s="4">
        <v>833195.67837999796</v>
      </c>
      <c r="J192" s="4">
        <v>713268.62395999802</v>
      </c>
      <c r="K192" s="4">
        <v>854955.38870000001</v>
      </c>
      <c r="L192" s="4">
        <v>844365.53499999992</v>
      </c>
      <c r="M192" s="4">
        <v>828880.53563999804</v>
      </c>
      <c r="N192" s="4">
        <v>856621.96954000206</v>
      </c>
      <c r="O192" s="4">
        <v>1168862.4661799981</v>
      </c>
      <c r="P192" s="4">
        <v>1316630.3040200002</v>
      </c>
      <c r="Q192" s="4">
        <v>1882848.9974364098</v>
      </c>
      <c r="R192" s="4">
        <v>1</v>
      </c>
      <c r="S192" s="4">
        <v>0</v>
      </c>
      <c r="T192">
        <f t="shared" si="6"/>
        <v>44521.140273530502</v>
      </c>
      <c r="U192">
        <f t="shared" si="7"/>
        <v>-44520.140273530502</v>
      </c>
      <c r="V192">
        <v>1495854.6868</v>
      </c>
      <c r="W192">
        <v>2</v>
      </c>
      <c r="X192">
        <v>1409744.2870189117</v>
      </c>
      <c r="Y192">
        <v>3</v>
      </c>
      <c r="Z192">
        <f t="shared" si="8"/>
        <v>2.6047061370589594E-2</v>
      </c>
    </row>
    <row r="193" spans="1:26" x14ac:dyDescent="0.3">
      <c r="A193">
        <v>20220916</v>
      </c>
      <c r="B193" s="5">
        <v>44820</v>
      </c>
      <c r="C193">
        <v>695557.63547821273</v>
      </c>
      <c r="D193" s="4">
        <v>814364.68240000797</v>
      </c>
      <c r="E193" s="5">
        <v>44820</v>
      </c>
      <c r="F193" s="4">
        <v>20220916</v>
      </c>
      <c r="G193" s="5"/>
      <c r="H193" s="4">
        <v>1110111.0076199998</v>
      </c>
      <c r="I193" s="4">
        <v>806142.605779998</v>
      </c>
      <c r="J193" s="4">
        <v>650332.53755999799</v>
      </c>
      <c r="K193" s="4">
        <v>823731.57894000004</v>
      </c>
      <c r="L193" s="4">
        <v>829355.46626000002</v>
      </c>
      <c r="M193" s="4">
        <v>813803.02337999805</v>
      </c>
      <c r="N193" s="4">
        <v>838533.41290000197</v>
      </c>
      <c r="O193" s="4">
        <v>1097572.419559998</v>
      </c>
      <c r="P193" s="4">
        <v>1310999.5954199999</v>
      </c>
      <c r="Q193" s="4">
        <v>1802232.6898082669</v>
      </c>
      <c r="R193" s="4">
        <v>1</v>
      </c>
      <c r="S193" s="4">
        <v>0</v>
      </c>
      <c r="T193">
        <f t="shared" si="6"/>
        <v>-80616.30762814288</v>
      </c>
      <c r="U193">
        <f t="shared" si="7"/>
        <v>80617.30762814288</v>
      </c>
      <c r="V193">
        <v>1453427.7383999999</v>
      </c>
      <c r="W193">
        <v>2</v>
      </c>
      <c r="X193">
        <v>1373134.0973455268</v>
      </c>
      <c r="Y193">
        <v>3</v>
      </c>
      <c r="Z193">
        <f t="shared" si="8"/>
        <v>-2.5969383249498327E-2</v>
      </c>
    </row>
    <row r="194" spans="1:26" x14ac:dyDescent="0.3">
      <c r="A194">
        <v>20220919</v>
      </c>
      <c r="B194" s="5">
        <v>44823</v>
      </c>
      <c r="C194">
        <v>700437.6678487279</v>
      </c>
      <c r="D194" s="4">
        <v>827271.03150000796</v>
      </c>
      <c r="E194" s="5">
        <v>44823</v>
      </c>
      <c r="F194" s="4">
        <v>20220919</v>
      </c>
      <c r="G194" s="5"/>
      <c r="H194" s="4">
        <v>1118491.8413</v>
      </c>
      <c r="I194" s="4">
        <v>811853.05935999798</v>
      </c>
      <c r="J194" s="4">
        <v>668711.33043999807</v>
      </c>
      <c r="K194" s="4">
        <v>840521.91926000011</v>
      </c>
      <c r="L194" s="4">
        <v>842973.76456000004</v>
      </c>
      <c r="M194" s="4">
        <v>825501.47591999802</v>
      </c>
      <c r="N194" s="4">
        <v>856152.02568000206</v>
      </c>
      <c r="O194" s="4">
        <v>1105985.9870599979</v>
      </c>
      <c r="P194" s="4">
        <v>1338507.1556199999</v>
      </c>
      <c r="Q194" s="4">
        <v>1778599.19625418</v>
      </c>
      <c r="R194" s="4">
        <v>1</v>
      </c>
      <c r="S194" s="4">
        <v>0</v>
      </c>
      <c r="T194">
        <f t="shared" si="6"/>
        <v>-23633.49355408689</v>
      </c>
      <c r="U194">
        <f t="shared" si="7"/>
        <v>23634.49355408689</v>
      </c>
      <c r="V194">
        <v>1483951.4987999999</v>
      </c>
      <c r="W194">
        <v>4</v>
      </c>
      <c r="X194">
        <v>1405115.7605216079</v>
      </c>
      <c r="Y194">
        <v>3</v>
      </c>
      <c r="Z194">
        <f t="shared" si="8"/>
        <v>2.3290997753173906E-2</v>
      </c>
    </row>
    <row r="195" spans="1:26" x14ac:dyDescent="0.3">
      <c r="A195">
        <v>20220920</v>
      </c>
      <c r="B195" s="5">
        <v>44824</v>
      </c>
      <c r="C195">
        <v>689954.21727403603</v>
      </c>
      <c r="D195" s="4">
        <v>808796.33480000799</v>
      </c>
      <c r="E195" s="5">
        <v>44824</v>
      </c>
      <c r="F195" s="4">
        <v>20220920</v>
      </c>
      <c r="G195" s="5"/>
      <c r="H195" s="4">
        <v>1097947.3324200001</v>
      </c>
      <c r="I195" s="4">
        <v>797001.43507999799</v>
      </c>
      <c r="J195" s="4">
        <v>633042.56103999796</v>
      </c>
      <c r="K195" s="4">
        <v>839542.91439999989</v>
      </c>
      <c r="L195" s="4">
        <v>822122.47528000001</v>
      </c>
      <c r="M195" s="4">
        <v>801471.53903999808</v>
      </c>
      <c r="N195" s="4">
        <v>833733.56768000196</v>
      </c>
      <c r="O195" s="4">
        <v>1061732.8863799979</v>
      </c>
      <c r="P195" s="4">
        <v>1320155.6198999998</v>
      </c>
      <c r="Q195" s="4">
        <v>1754136.2424634809</v>
      </c>
      <c r="R195" s="4">
        <v>4</v>
      </c>
      <c r="S195" s="4">
        <v>0</v>
      </c>
      <c r="T195">
        <f t="shared" si="6"/>
        <v>-24462.953790699132</v>
      </c>
      <c r="U195">
        <f t="shared" si="7"/>
        <v>24466.953790699132</v>
      </c>
      <c r="V195">
        <v>1463541.1368</v>
      </c>
      <c r="W195">
        <v>4</v>
      </c>
      <c r="X195">
        <v>1386445.5225273827</v>
      </c>
      <c r="Y195">
        <v>3</v>
      </c>
      <c r="Z195">
        <f t="shared" si="8"/>
        <v>-1.3287330851156671E-2</v>
      </c>
    </row>
    <row r="196" spans="1:26" x14ac:dyDescent="0.3">
      <c r="A196">
        <v>20220921</v>
      </c>
      <c r="B196" s="5">
        <v>44825</v>
      </c>
      <c r="C196">
        <v>686363.69552734192</v>
      </c>
      <c r="D196" s="4">
        <v>822192.17980000796</v>
      </c>
      <c r="E196" s="5">
        <v>44825</v>
      </c>
      <c r="F196" s="4">
        <v>20220921</v>
      </c>
      <c r="G196" s="5"/>
      <c r="H196" s="4">
        <v>1148913.2985</v>
      </c>
      <c r="I196" s="4">
        <v>828088.30725999805</v>
      </c>
      <c r="J196" s="4">
        <v>657676.88193999801</v>
      </c>
      <c r="K196" s="4">
        <v>854240.28895999992</v>
      </c>
      <c r="L196" s="4">
        <v>838011.24139999994</v>
      </c>
      <c r="M196" s="4">
        <v>814734.09551999799</v>
      </c>
      <c r="N196" s="4">
        <v>852531.57612000196</v>
      </c>
      <c r="O196" s="4">
        <v>1074767.110859998</v>
      </c>
      <c r="P196" s="4">
        <v>1339049.9795600001</v>
      </c>
      <c r="Q196" s="4">
        <v>1785691.4090662312</v>
      </c>
      <c r="R196" s="4">
        <v>3</v>
      </c>
      <c r="S196" s="4">
        <v>0</v>
      </c>
      <c r="T196">
        <f t="shared" ref="T196:T259" si="9">Q196-Q195</f>
        <v>31555.166602750309</v>
      </c>
      <c r="U196">
        <f t="shared" ref="U196:U259" si="10">R196-T196</f>
        <v>-31552.166602750309</v>
      </c>
      <c r="V196">
        <v>1484516.4662000001</v>
      </c>
      <c r="W196">
        <v>4</v>
      </c>
      <c r="X196">
        <v>1411386.5938512993</v>
      </c>
      <c r="Y196">
        <v>3</v>
      </c>
      <c r="Z196">
        <f t="shared" ref="Z196:Z259" si="11">(X196-X195)/X195</f>
        <v>1.7989218414042631E-2</v>
      </c>
    </row>
    <row r="197" spans="1:26" x14ac:dyDescent="0.3">
      <c r="A197">
        <v>20220922</v>
      </c>
      <c r="B197" s="5">
        <v>44826</v>
      </c>
      <c r="C197">
        <v>681761.62694883114</v>
      </c>
      <c r="D197" s="4">
        <v>800070.43240000797</v>
      </c>
      <c r="E197" s="5">
        <v>44826</v>
      </c>
      <c r="F197" s="4">
        <v>20220922</v>
      </c>
      <c r="G197" s="5"/>
      <c r="H197" s="4">
        <v>1103048.1217199999</v>
      </c>
      <c r="I197" s="4">
        <v>788117.063459998</v>
      </c>
      <c r="J197" s="4">
        <v>618865.56173999805</v>
      </c>
      <c r="K197" s="4">
        <v>857525.90636000002</v>
      </c>
      <c r="L197" s="4">
        <v>814732.88534000004</v>
      </c>
      <c r="M197" s="4">
        <v>786996.66071999795</v>
      </c>
      <c r="N197" s="4">
        <v>824997.60196000198</v>
      </c>
      <c r="O197" s="4">
        <v>1029581.8706399979</v>
      </c>
      <c r="P197" s="4">
        <v>1305114.0105599998</v>
      </c>
      <c r="Q197" s="4">
        <v>1718389.2239758787</v>
      </c>
      <c r="R197" s="4">
        <v>3</v>
      </c>
      <c r="S197" s="4">
        <v>0</v>
      </c>
      <c r="T197">
        <f t="shared" si="9"/>
        <v>-67302.185090352548</v>
      </c>
      <c r="U197">
        <f t="shared" si="10"/>
        <v>67305.185090352548</v>
      </c>
      <c r="V197">
        <v>1442638.8402</v>
      </c>
      <c r="W197">
        <v>2</v>
      </c>
      <c r="X197">
        <v>1358191.8800951748</v>
      </c>
      <c r="Y197">
        <v>3</v>
      </c>
      <c r="Z197">
        <f t="shared" si="11"/>
        <v>-3.7689683314172794E-2</v>
      </c>
    </row>
    <row r="198" spans="1:26" x14ac:dyDescent="0.3">
      <c r="A198">
        <v>20220923</v>
      </c>
      <c r="B198" s="5">
        <v>44827</v>
      </c>
      <c r="C198">
        <v>687416.83964437176</v>
      </c>
      <c r="D198" s="4">
        <v>800868.59730000899</v>
      </c>
      <c r="E198" s="5">
        <v>44827</v>
      </c>
      <c r="F198" s="4">
        <v>20220923</v>
      </c>
      <c r="G198" s="5"/>
      <c r="H198" s="4">
        <v>1096317.6444599999</v>
      </c>
      <c r="I198" s="4">
        <v>788786.10185999796</v>
      </c>
      <c r="J198" s="4">
        <v>608900.30665999802</v>
      </c>
      <c r="K198" s="4">
        <v>857599.04372000007</v>
      </c>
      <c r="L198" s="4">
        <v>816426.21972000005</v>
      </c>
      <c r="M198" s="4">
        <v>789145.39865999797</v>
      </c>
      <c r="N198" s="4">
        <v>823654.47694000206</v>
      </c>
      <c r="O198" s="4">
        <v>1015257.500079998</v>
      </c>
      <c r="P198" s="4">
        <v>1326246.0197399999</v>
      </c>
      <c r="Q198" s="4">
        <v>1722324.1899187164</v>
      </c>
      <c r="R198" s="4">
        <v>2</v>
      </c>
      <c r="S198" s="4">
        <v>0</v>
      </c>
      <c r="T198">
        <f t="shared" si="9"/>
        <v>3934.9659428377636</v>
      </c>
      <c r="U198">
        <f t="shared" si="10"/>
        <v>-3932.9659428377636</v>
      </c>
      <c r="V198">
        <v>1496276.3403999999</v>
      </c>
      <c r="W198">
        <v>1</v>
      </c>
      <c r="X198">
        <v>1375349.8463513078</v>
      </c>
      <c r="Y198">
        <v>3</v>
      </c>
      <c r="Z198">
        <f t="shared" si="11"/>
        <v>1.2632947161288219E-2</v>
      </c>
    </row>
    <row r="199" spans="1:26" x14ac:dyDescent="0.3">
      <c r="A199">
        <v>20220926</v>
      </c>
      <c r="B199" s="5">
        <v>44830</v>
      </c>
      <c r="C199">
        <v>702700.17824018502</v>
      </c>
      <c r="D199" s="4">
        <v>822696.51450000901</v>
      </c>
      <c r="E199" s="5">
        <v>44830</v>
      </c>
      <c r="F199" s="4">
        <v>20220926</v>
      </c>
      <c r="G199" s="5"/>
      <c r="H199" s="4">
        <v>1138890.6053800001</v>
      </c>
      <c r="I199" s="4">
        <v>806812.24519999803</v>
      </c>
      <c r="J199" s="4">
        <v>635069.587279998</v>
      </c>
      <c r="K199" s="4">
        <v>869615.07365999999</v>
      </c>
      <c r="L199" s="4">
        <v>846303.22902000009</v>
      </c>
      <c r="M199" s="4">
        <v>820597.78179999802</v>
      </c>
      <c r="N199" s="4">
        <v>841821.73986000195</v>
      </c>
      <c r="O199" s="4">
        <v>1077616.6614999981</v>
      </c>
      <c r="P199" s="4">
        <v>1375809.88426</v>
      </c>
      <c r="Q199" s="4">
        <v>1746889.988094067</v>
      </c>
      <c r="R199" s="4">
        <v>2</v>
      </c>
      <c r="S199" s="4">
        <v>0</v>
      </c>
      <c r="T199">
        <f t="shared" si="9"/>
        <v>24565.79817535053</v>
      </c>
      <c r="U199">
        <f t="shared" si="10"/>
        <v>-24563.79817535053</v>
      </c>
      <c r="V199">
        <v>1532010.7146000001</v>
      </c>
      <c r="W199">
        <v>1</v>
      </c>
      <c r="X199">
        <v>1415478.8221813662</v>
      </c>
      <c r="Y199">
        <v>3</v>
      </c>
      <c r="Z199">
        <f t="shared" si="11"/>
        <v>2.9177286009459534E-2</v>
      </c>
    </row>
    <row r="200" spans="1:26" x14ac:dyDescent="0.3">
      <c r="A200">
        <v>20220927</v>
      </c>
      <c r="B200" s="5">
        <v>44831</v>
      </c>
      <c r="C200">
        <v>684648.51336137298</v>
      </c>
      <c r="D200" s="4">
        <v>799935.87540000898</v>
      </c>
      <c r="E200" s="5">
        <v>44831</v>
      </c>
      <c r="F200" s="4">
        <v>20220927</v>
      </c>
      <c r="G200" s="5"/>
      <c r="H200" s="4">
        <v>1133605.95312</v>
      </c>
      <c r="I200" s="4">
        <v>774902.55479999795</v>
      </c>
      <c r="J200" s="4">
        <v>610351.36867999798</v>
      </c>
      <c r="K200" s="4">
        <v>825082.31224</v>
      </c>
      <c r="L200" s="4">
        <v>823502.59915999998</v>
      </c>
      <c r="M200" s="4">
        <v>798521.99747999804</v>
      </c>
      <c r="N200" s="4">
        <v>820299.32368000201</v>
      </c>
      <c r="O200" s="4">
        <v>1024751.419459996</v>
      </c>
      <c r="P200" s="4">
        <v>1313295.05244</v>
      </c>
      <c r="Q200" s="4">
        <v>1636373.2165121573</v>
      </c>
      <c r="R200" s="4">
        <v>1</v>
      </c>
      <c r="S200" s="4">
        <v>0</v>
      </c>
      <c r="T200">
        <f t="shared" si="9"/>
        <v>-110516.77158190962</v>
      </c>
      <c r="U200">
        <f t="shared" si="10"/>
        <v>110517.77158190962</v>
      </c>
      <c r="V200">
        <v>1435088.527</v>
      </c>
      <c r="W200">
        <v>1</v>
      </c>
      <c r="X200">
        <v>1352276.1374059159</v>
      </c>
      <c r="Y200">
        <v>3</v>
      </c>
      <c r="Z200">
        <f t="shared" si="11"/>
        <v>-4.4651098826084784E-2</v>
      </c>
    </row>
    <row r="201" spans="1:26" x14ac:dyDescent="0.3">
      <c r="A201">
        <v>20220928</v>
      </c>
      <c r="B201" s="5">
        <v>44832</v>
      </c>
      <c r="C201">
        <v>690326.30348267895</v>
      </c>
      <c r="D201" s="4">
        <v>809678.64310000802</v>
      </c>
      <c r="E201" s="5">
        <v>44832</v>
      </c>
      <c r="F201" s="4">
        <v>20220928</v>
      </c>
      <c r="G201" s="5"/>
      <c r="H201" s="4">
        <v>1145438.85726</v>
      </c>
      <c r="I201" s="4">
        <v>780874.63847999799</v>
      </c>
      <c r="J201" s="4">
        <v>605407.306579998</v>
      </c>
      <c r="K201" s="4">
        <v>843565.56407999992</v>
      </c>
      <c r="L201" s="4">
        <v>834276.21531999996</v>
      </c>
      <c r="M201" s="4">
        <v>804140.10449999804</v>
      </c>
      <c r="N201" s="4">
        <v>831874.00878000201</v>
      </c>
      <c r="O201" s="4">
        <v>1031149.375919998</v>
      </c>
      <c r="P201" s="4">
        <v>1306567.93704</v>
      </c>
      <c r="Q201" s="4">
        <v>1627965.695200878</v>
      </c>
      <c r="R201" s="4">
        <v>4</v>
      </c>
      <c r="S201" s="4">
        <v>0</v>
      </c>
      <c r="T201">
        <f t="shared" si="9"/>
        <v>-8407.5213112793863</v>
      </c>
      <c r="U201">
        <f t="shared" si="10"/>
        <v>8411.5213112793863</v>
      </c>
      <c r="V201">
        <v>1426399.433</v>
      </c>
      <c r="W201">
        <v>2</v>
      </c>
      <c r="X201">
        <v>1343733.7480065809</v>
      </c>
      <c r="Y201">
        <v>3</v>
      </c>
      <c r="Z201">
        <f t="shared" si="11"/>
        <v>-6.3170451382230019E-3</v>
      </c>
    </row>
    <row r="202" spans="1:26" x14ac:dyDescent="0.3">
      <c r="A202">
        <v>20220929</v>
      </c>
      <c r="B202" s="5">
        <v>44833</v>
      </c>
      <c r="C202">
        <v>677288.11058880156</v>
      </c>
      <c r="D202" s="4">
        <v>809678.64310000802</v>
      </c>
      <c r="E202" s="5">
        <v>44833</v>
      </c>
      <c r="G202" s="5"/>
      <c r="H202" s="4">
        <v>1127937.9570800001</v>
      </c>
      <c r="I202" s="4">
        <v>762093.92743999802</v>
      </c>
      <c r="J202" s="4">
        <v>582071.19129999797</v>
      </c>
      <c r="K202" s="4">
        <v>819991.33298000006</v>
      </c>
      <c r="L202" s="4">
        <v>813751.05968000006</v>
      </c>
      <c r="M202" s="4">
        <v>787139.30927999807</v>
      </c>
      <c r="N202" s="4">
        <v>815223.97636000195</v>
      </c>
      <c r="O202" s="4">
        <v>1026658.033979998</v>
      </c>
      <c r="P202" s="4">
        <v>1258712.47426</v>
      </c>
      <c r="Q202" s="4">
        <v>1627965.695200878</v>
      </c>
      <c r="R202" s="4">
        <v>0</v>
      </c>
      <c r="S202" s="4">
        <v>0</v>
      </c>
      <c r="T202">
        <f t="shared" si="9"/>
        <v>0</v>
      </c>
      <c r="U202">
        <f t="shared" si="10"/>
        <v>0</v>
      </c>
      <c r="V202">
        <v>1426399.433</v>
      </c>
      <c r="W202">
        <v>0</v>
      </c>
      <c r="X202">
        <v>1343733.7480065809</v>
      </c>
      <c r="Y202">
        <v>0</v>
      </c>
      <c r="Z202">
        <f t="shared" si="11"/>
        <v>0</v>
      </c>
    </row>
    <row r="203" spans="1:26" x14ac:dyDescent="0.3">
      <c r="A203">
        <v>20220930</v>
      </c>
      <c r="B203" s="5">
        <v>44834</v>
      </c>
      <c r="C203">
        <v>661676.61963972985</v>
      </c>
      <c r="D203" s="4">
        <v>789789.32680000796</v>
      </c>
      <c r="E203" s="5">
        <v>44834</v>
      </c>
      <c r="F203" s="4">
        <v>20220930</v>
      </c>
      <c r="G203" s="5"/>
      <c r="H203" s="4">
        <v>1135919.0085799999</v>
      </c>
      <c r="I203" s="4">
        <v>767471.53987999796</v>
      </c>
      <c r="J203" s="4">
        <v>586109.41971999803</v>
      </c>
      <c r="K203" s="4">
        <v>827590.66821999999</v>
      </c>
      <c r="L203" s="4">
        <v>828929.65214000002</v>
      </c>
      <c r="M203" s="4">
        <v>802367.23013999802</v>
      </c>
      <c r="N203" s="4">
        <v>835217.30412000208</v>
      </c>
      <c r="O203" s="4">
        <v>1052426.8392799979</v>
      </c>
      <c r="P203" s="4">
        <v>1330087.7045</v>
      </c>
      <c r="Q203" s="4">
        <v>1583977.2374939432</v>
      </c>
      <c r="R203" s="4">
        <v>3</v>
      </c>
      <c r="S203" s="4">
        <v>0</v>
      </c>
      <c r="T203">
        <f t="shared" si="9"/>
        <v>-43988.457706934772</v>
      </c>
      <c r="U203">
        <f t="shared" si="10"/>
        <v>43991.457706934772</v>
      </c>
      <c r="V203">
        <v>1373923.9782</v>
      </c>
      <c r="W203">
        <v>4</v>
      </c>
      <c r="X203">
        <v>1318716.4829469144</v>
      </c>
      <c r="Y203">
        <v>1</v>
      </c>
      <c r="Z203">
        <f t="shared" si="11"/>
        <v>-1.8617724751483992E-2</v>
      </c>
    </row>
    <row r="204" spans="1:26" x14ac:dyDescent="0.3">
      <c r="A204">
        <v>20221010</v>
      </c>
      <c r="B204" s="5">
        <v>44844</v>
      </c>
      <c r="C204">
        <v>669254.80196446367</v>
      </c>
      <c r="D204" s="4">
        <v>803199.65810000803</v>
      </c>
      <c r="E204" s="5">
        <v>44844</v>
      </c>
      <c r="F204" s="4">
        <v>20221010</v>
      </c>
      <c r="G204" s="5" t="s">
        <v>12</v>
      </c>
      <c r="H204" s="4">
        <v>1155596.58186</v>
      </c>
      <c r="I204" s="4">
        <v>805337.05519999797</v>
      </c>
      <c r="J204" s="4">
        <v>615807.04013999808</v>
      </c>
      <c r="K204" s="4">
        <v>868771.82422000007</v>
      </c>
      <c r="L204" s="4">
        <v>849919.74482000002</v>
      </c>
      <c r="M204" s="4">
        <v>818264.10379999806</v>
      </c>
      <c r="N204" s="4">
        <v>860813.00734000211</v>
      </c>
      <c r="O204" s="4">
        <v>1096668.4945799981</v>
      </c>
      <c r="P204" s="4">
        <v>1382449.2760399999</v>
      </c>
      <c r="Q204" s="4">
        <v>1673199.5395809237</v>
      </c>
      <c r="R204" s="4">
        <v>3</v>
      </c>
      <c r="S204" s="4">
        <v>0</v>
      </c>
      <c r="T204">
        <f t="shared" si="9"/>
        <v>89222.302086980548</v>
      </c>
      <c r="U204">
        <f t="shared" si="10"/>
        <v>-89219.302086980548</v>
      </c>
      <c r="V204">
        <v>1429258.8162</v>
      </c>
      <c r="W204">
        <v>2</v>
      </c>
      <c r="X204">
        <v>1435333.3983793983</v>
      </c>
      <c r="Y204">
        <v>1</v>
      </c>
      <c r="Z204">
        <f t="shared" si="11"/>
        <v>8.8432136050868151E-2</v>
      </c>
    </row>
    <row r="205" spans="1:26" x14ac:dyDescent="0.3">
      <c r="A205">
        <v>20221011</v>
      </c>
      <c r="B205" s="5">
        <v>44845</v>
      </c>
      <c r="C205">
        <v>693331.24346513511</v>
      </c>
      <c r="D205" s="4">
        <v>819852.99980000895</v>
      </c>
      <c r="E205" s="5">
        <v>44845</v>
      </c>
      <c r="F205" s="4">
        <v>20221011</v>
      </c>
      <c r="G205" s="5"/>
      <c r="H205" s="4">
        <v>1163383.14096</v>
      </c>
      <c r="I205" s="4">
        <v>825023.45419999794</v>
      </c>
      <c r="J205" s="4">
        <v>632009.14773999795</v>
      </c>
      <c r="K205" s="4">
        <v>879706.50815999997</v>
      </c>
      <c r="L205" s="4">
        <v>857627.30754000007</v>
      </c>
      <c r="M205" s="4">
        <v>826183.87415999803</v>
      </c>
      <c r="N205" s="4">
        <v>872913.78884000203</v>
      </c>
      <c r="O205" s="4">
        <v>1095110.4711999982</v>
      </c>
      <c r="P205" s="4">
        <v>1379842.5144</v>
      </c>
      <c r="Q205" s="4">
        <v>1722445.4481248066</v>
      </c>
      <c r="R205" s="4">
        <v>3</v>
      </c>
      <c r="S205" s="4">
        <v>0</v>
      </c>
      <c r="T205">
        <f t="shared" si="9"/>
        <v>49245.908543882892</v>
      </c>
      <c r="U205">
        <f t="shared" si="10"/>
        <v>-49242.908543882892</v>
      </c>
      <c r="V205">
        <v>1485989.2905999999</v>
      </c>
      <c r="W205">
        <v>4</v>
      </c>
      <c r="X205">
        <v>1507171.2381918426</v>
      </c>
      <c r="Y205">
        <v>1</v>
      </c>
      <c r="Z205">
        <f t="shared" si="11"/>
        <v>5.0049584224511695E-2</v>
      </c>
    </row>
    <row r="206" spans="1:26" x14ac:dyDescent="0.3">
      <c r="A206">
        <v>20221012</v>
      </c>
      <c r="B206" s="5">
        <v>44846</v>
      </c>
      <c r="C206">
        <v>695505.53024464194</v>
      </c>
      <c r="D206" s="4">
        <v>831425.96350000799</v>
      </c>
      <c r="E206" s="5">
        <v>44846</v>
      </c>
      <c r="F206" s="4">
        <v>20221012</v>
      </c>
      <c r="G206" s="5"/>
      <c r="H206" s="4">
        <v>1191176.0412399999</v>
      </c>
      <c r="I206" s="4">
        <v>850777.40939999803</v>
      </c>
      <c r="J206" s="4">
        <v>642832.09451999806</v>
      </c>
      <c r="K206" s="4">
        <v>903756.67862000002</v>
      </c>
      <c r="L206" s="4">
        <v>875612.80781999999</v>
      </c>
      <c r="M206" s="4">
        <v>843205.22431999794</v>
      </c>
      <c r="N206" s="4">
        <v>893654.16212000197</v>
      </c>
      <c r="O206" s="4">
        <v>1102337.817979998</v>
      </c>
      <c r="P206" s="4">
        <v>1396944.4550399999</v>
      </c>
      <c r="Q206" s="4">
        <v>1719190.8809529068</v>
      </c>
      <c r="R206" s="4">
        <v>4</v>
      </c>
      <c r="S206" s="4">
        <v>0</v>
      </c>
      <c r="T206">
        <f t="shared" si="9"/>
        <v>-3254.5671718998346</v>
      </c>
      <c r="U206">
        <f t="shared" si="10"/>
        <v>3258.5671718998346</v>
      </c>
      <c r="V206">
        <v>1484272.7596</v>
      </c>
      <c r="W206">
        <v>1</v>
      </c>
      <c r="X206">
        <v>1505430.2395039345</v>
      </c>
      <c r="Y206">
        <v>1</v>
      </c>
      <c r="Z206">
        <f t="shared" si="11"/>
        <v>-1.1551432536602373E-3</v>
      </c>
    </row>
    <row r="207" spans="1:26" x14ac:dyDescent="0.3">
      <c r="A207">
        <v>20221013</v>
      </c>
      <c r="B207" s="5">
        <v>44847</v>
      </c>
      <c r="C207">
        <v>720209.88667893154</v>
      </c>
      <c r="D207" s="4">
        <v>848814.91990000801</v>
      </c>
      <c r="E207" s="5">
        <v>44847</v>
      </c>
      <c r="F207" s="4">
        <v>20221013</v>
      </c>
      <c r="G207" s="5"/>
      <c r="H207" s="4">
        <v>1222820.3942199999</v>
      </c>
      <c r="I207" s="4">
        <v>863749.32931999804</v>
      </c>
      <c r="J207" s="4">
        <v>649661.07529999805</v>
      </c>
      <c r="K207" s="4">
        <v>913401.96520000009</v>
      </c>
      <c r="L207" s="4">
        <v>881755.99568000005</v>
      </c>
      <c r="M207" s="4">
        <v>846143.57425999804</v>
      </c>
      <c r="N207" s="4">
        <v>898431.43752000201</v>
      </c>
      <c r="O207" s="4">
        <v>1128352.346539998</v>
      </c>
      <c r="P207" s="4">
        <v>1436893.9760199999</v>
      </c>
      <c r="Q207" s="4">
        <v>1729604.0510581443</v>
      </c>
      <c r="R207" s="4">
        <v>1</v>
      </c>
      <c r="S207" s="4">
        <v>0</v>
      </c>
      <c r="T207">
        <f t="shared" si="9"/>
        <v>10413.170105237514</v>
      </c>
      <c r="U207">
        <f t="shared" si="10"/>
        <v>-10412.170105237514</v>
      </c>
      <c r="V207">
        <v>1493263.0592</v>
      </c>
      <c r="W207">
        <v>1</v>
      </c>
      <c r="X207">
        <v>1514548.7152256046</v>
      </c>
      <c r="Y207">
        <v>1</v>
      </c>
      <c r="Z207">
        <f t="shared" si="11"/>
        <v>6.057056303502166E-3</v>
      </c>
    </row>
    <row r="208" spans="1:26" x14ac:dyDescent="0.3">
      <c r="A208">
        <v>20221014</v>
      </c>
      <c r="B208" s="5">
        <v>44848</v>
      </c>
      <c r="C208">
        <v>720436.03258334869</v>
      </c>
      <c r="D208" s="4">
        <v>857639.74140000797</v>
      </c>
      <c r="E208" s="5">
        <v>44848</v>
      </c>
      <c r="F208" s="4">
        <v>20221014</v>
      </c>
      <c r="G208" s="5"/>
      <c r="H208" s="4">
        <v>1276374.0366199999</v>
      </c>
      <c r="I208" s="4">
        <v>875195.673339998</v>
      </c>
      <c r="J208" s="4">
        <v>665138.15923999797</v>
      </c>
      <c r="K208" s="4">
        <v>951628.67544000002</v>
      </c>
      <c r="L208" s="4">
        <v>899494.01495999994</v>
      </c>
      <c r="M208" s="4">
        <v>854545.01707999804</v>
      </c>
      <c r="N208" s="4">
        <v>918363.57410000206</v>
      </c>
      <c r="O208" s="4">
        <v>1172568.7002399978</v>
      </c>
      <c r="P208" s="4">
        <v>1460832.42136</v>
      </c>
      <c r="Q208" s="4">
        <v>1740683.1957372616</v>
      </c>
      <c r="R208" s="4">
        <v>1</v>
      </c>
      <c r="S208" s="4">
        <v>0</v>
      </c>
      <c r="T208">
        <f t="shared" si="9"/>
        <v>11079.144679117249</v>
      </c>
      <c r="U208">
        <f t="shared" si="10"/>
        <v>-11078.144679117249</v>
      </c>
      <c r="V208">
        <v>1493263.0592</v>
      </c>
      <c r="W208">
        <v>0</v>
      </c>
      <c r="X208">
        <v>1524250.318964503</v>
      </c>
      <c r="Y208">
        <v>1</v>
      </c>
      <c r="Z208">
        <f t="shared" si="11"/>
        <v>6.4056069252637262E-3</v>
      </c>
    </row>
    <row r="209" spans="1:26" x14ac:dyDescent="0.3">
      <c r="A209">
        <v>20221017</v>
      </c>
      <c r="B209" s="5">
        <v>44851</v>
      </c>
      <c r="C209">
        <v>723946.71737012744</v>
      </c>
      <c r="D209" s="4">
        <v>873896.14450000797</v>
      </c>
      <c r="E209" s="5">
        <v>44851</v>
      </c>
      <c r="F209" s="4">
        <v>20221017</v>
      </c>
      <c r="G209" s="5"/>
      <c r="H209" s="4">
        <v>1277850.6427</v>
      </c>
      <c r="I209" s="4">
        <v>876493.77105999796</v>
      </c>
      <c r="J209" s="4">
        <v>669089.09551999799</v>
      </c>
      <c r="K209" s="4">
        <v>947072.35847999994</v>
      </c>
      <c r="L209" s="4">
        <v>904132.41703999997</v>
      </c>
      <c r="M209" s="4">
        <v>854433.22441999801</v>
      </c>
      <c r="N209" s="4">
        <v>922801.35070000193</v>
      </c>
      <c r="O209" s="4">
        <v>1187707.5083999981</v>
      </c>
      <c r="P209" s="4">
        <v>1457445.62634</v>
      </c>
      <c r="Q209" s="4">
        <v>1796260.8596135147</v>
      </c>
      <c r="R209" s="4">
        <v>1</v>
      </c>
      <c r="S209" s="4">
        <v>0</v>
      </c>
      <c r="T209">
        <f t="shared" si="9"/>
        <v>55577.66387625318</v>
      </c>
      <c r="U209">
        <f t="shared" si="10"/>
        <v>-55576.66387625318</v>
      </c>
      <c r="V209">
        <v>1518171.7718</v>
      </c>
      <c r="W209">
        <v>4</v>
      </c>
      <c r="X209">
        <v>1572917.5625588228</v>
      </c>
      <c r="Y209">
        <v>1</v>
      </c>
      <c r="Z209">
        <f t="shared" si="11"/>
        <v>3.1928642552216627E-2</v>
      </c>
    </row>
    <row r="210" spans="1:26" x14ac:dyDescent="0.3">
      <c r="A210">
        <v>20221018</v>
      </c>
      <c r="B210" s="5">
        <v>44852</v>
      </c>
      <c r="C210">
        <v>717730.91085478745</v>
      </c>
      <c r="D210" s="4">
        <v>878307.54960000794</v>
      </c>
      <c r="E210" s="5">
        <v>44852</v>
      </c>
      <c r="F210" s="4">
        <v>20221018</v>
      </c>
      <c r="G210" s="5"/>
      <c r="H210" s="4">
        <v>1238300.1877000001</v>
      </c>
      <c r="I210" s="4">
        <v>860590.88125999796</v>
      </c>
      <c r="J210" s="4">
        <v>648433.91747999797</v>
      </c>
      <c r="K210" s="4">
        <v>929477.30825999996</v>
      </c>
      <c r="L210" s="4">
        <v>891970.41094000009</v>
      </c>
      <c r="M210" s="4">
        <v>842841.39921999793</v>
      </c>
      <c r="N210" s="4">
        <v>909050.93080000207</v>
      </c>
      <c r="O210" s="4">
        <v>1202191.8804999979</v>
      </c>
      <c r="P210" s="4">
        <v>1466898.5929400001</v>
      </c>
      <c r="Q210" s="4">
        <v>1799279.6227016749</v>
      </c>
      <c r="R210" s="4">
        <v>3</v>
      </c>
      <c r="S210" s="4">
        <v>0</v>
      </c>
      <c r="T210">
        <f t="shared" si="9"/>
        <v>3018.7630881601945</v>
      </c>
      <c r="U210">
        <f t="shared" si="10"/>
        <v>-3015.7630881601945</v>
      </c>
      <c r="V210">
        <v>1514624.8846</v>
      </c>
      <c r="W210">
        <v>4</v>
      </c>
      <c r="X210">
        <v>1569242.4818903704</v>
      </c>
      <c r="Y210">
        <v>4</v>
      </c>
      <c r="Z210">
        <f t="shared" si="11"/>
        <v>-2.3364737961688252E-3</v>
      </c>
    </row>
    <row r="211" spans="1:26" x14ac:dyDescent="0.3">
      <c r="A211">
        <v>20221019</v>
      </c>
      <c r="B211" s="5">
        <v>44853</v>
      </c>
      <c r="C211">
        <v>710547.85989895277</v>
      </c>
      <c r="D211" s="4">
        <v>866675.24000000802</v>
      </c>
      <c r="E211" s="5">
        <v>44853</v>
      </c>
      <c r="F211" s="4">
        <v>20221019</v>
      </c>
      <c r="G211" s="5"/>
      <c r="H211" s="4">
        <v>1267887.0801200001</v>
      </c>
      <c r="I211" s="4">
        <v>863993.72263999807</v>
      </c>
      <c r="J211" s="4">
        <v>654038.50979999802</v>
      </c>
      <c r="K211" s="4">
        <v>913101.80355999991</v>
      </c>
      <c r="L211" s="4">
        <v>889824.58269999991</v>
      </c>
      <c r="M211" s="4">
        <v>844743.860699996</v>
      </c>
      <c r="N211" s="4">
        <v>912459.82484000199</v>
      </c>
      <c r="O211" s="4">
        <v>1199170.6026399978</v>
      </c>
      <c r="P211" s="4">
        <v>1432589.7749399999</v>
      </c>
      <c r="Q211" s="4">
        <v>1779484.6662265642</v>
      </c>
      <c r="R211" s="4">
        <v>3</v>
      </c>
      <c r="S211" s="4">
        <v>0</v>
      </c>
      <c r="T211">
        <f t="shared" si="9"/>
        <v>-19794.956475110725</v>
      </c>
      <c r="U211">
        <f t="shared" si="10"/>
        <v>19797.956475110725</v>
      </c>
      <c r="V211">
        <v>1514624.8846</v>
      </c>
      <c r="W211">
        <v>0</v>
      </c>
      <c r="X211">
        <v>1581322.2740444122</v>
      </c>
      <c r="Y211">
        <v>1</v>
      </c>
      <c r="Z211">
        <f t="shared" si="11"/>
        <v>7.6978493084701805E-3</v>
      </c>
    </row>
    <row r="212" spans="1:26" x14ac:dyDescent="0.3">
      <c r="A212">
        <v>20221020</v>
      </c>
      <c r="B212" s="5">
        <v>44854</v>
      </c>
      <c r="C212">
        <v>708595.98492781026</v>
      </c>
      <c r="D212" s="4">
        <v>864318.33850000799</v>
      </c>
      <c r="E212" s="5">
        <v>44854</v>
      </c>
      <c r="F212" s="4">
        <v>20221020</v>
      </c>
      <c r="G212" s="5"/>
      <c r="H212" s="4">
        <v>1243484.6505200001</v>
      </c>
      <c r="I212" s="4">
        <v>890285.51237999799</v>
      </c>
      <c r="J212" s="4">
        <v>641489.41391999798</v>
      </c>
      <c r="K212" s="4">
        <v>897290.45588000002</v>
      </c>
      <c r="L212" s="4">
        <v>885641.47168000008</v>
      </c>
      <c r="M212" s="4">
        <v>836391.88037999603</v>
      </c>
      <c r="N212" s="4">
        <v>906834.82644000207</v>
      </c>
      <c r="O212" s="4">
        <v>1174637.7020799979</v>
      </c>
      <c r="P212" s="4">
        <v>1407243.9117399999</v>
      </c>
      <c r="Q212" s="4">
        <v>1744206.3419944125</v>
      </c>
      <c r="R212" s="4">
        <v>2</v>
      </c>
      <c r="S212" s="4">
        <v>0</v>
      </c>
      <c r="T212">
        <f t="shared" si="9"/>
        <v>-35278.324232151732</v>
      </c>
      <c r="U212">
        <f t="shared" si="10"/>
        <v>35280.324232151732</v>
      </c>
      <c r="V212">
        <v>1484597.4547999999</v>
      </c>
      <c r="W212">
        <v>2</v>
      </c>
      <c r="X212">
        <v>1513057.1784967917</v>
      </c>
      <c r="Y212">
        <v>1</v>
      </c>
      <c r="Z212">
        <f t="shared" si="11"/>
        <v>-4.3169628777203442E-2</v>
      </c>
    </row>
    <row r="213" spans="1:26" x14ac:dyDescent="0.3">
      <c r="A213">
        <v>20221021</v>
      </c>
      <c r="B213" s="5">
        <v>44855</v>
      </c>
      <c r="C213">
        <v>691331.75235102919</v>
      </c>
      <c r="D213" s="4">
        <v>860805.46290000796</v>
      </c>
      <c r="E213" s="5">
        <v>44855</v>
      </c>
      <c r="F213" s="4">
        <v>20221021</v>
      </c>
      <c r="G213" s="5"/>
      <c r="H213" s="4">
        <v>1285140.33736</v>
      </c>
      <c r="I213" s="4">
        <v>897498.73209999804</v>
      </c>
      <c r="J213" s="4">
        <v>645089.04511999805</v>
      </c>
      <c r="K213" s="4">
        <v>881148.08400000003</v>
      </c>
      <c r="L213" s="4">
        <v>881092.62471999996</v>
      </c>
      <c r="M213" s="4">
        <v>830749.58597999602</v>
      </c>
      <c r="N213" s="4">
        <v>898194.83324000204</v>
      </c>
      <c r="O213" s="4">
        <v>1169073.538319998</v>
      </c>
      <c r="P213" s="4">
        <v>1399377.20258</v>
      </c>
      <c r="Q213" s="4">
        <v>1722280.8150718657</v>
      </c>
      <c r="R213" s="4">
        <v>2</v>
      </c>
      <c r="S213" s="4">
        <v>0</v>
      </c>
      <c r="T213">
        <f t="shared" si="9"/>
        <v>-21925.526922546793</v>
      </c>
      <c r="U213">
        <f t="shared" si="10"/>
        <v>21927.526922546793</v>
      </c>
      <c r="V213">
        <v>1465935.4665999999</v>
      </c>
      <c r="W213">
        <v>2</v>
      </c>
      <c r="X213">
        <v>1477438.2848895139</v>
      </c>
      <c r="Y213">
        <v>1</v>
      </c>
      <c r="Z213">
        <f t="shared" si="11"/>
        <v>-2.3541009628376984E-2</v>
      </c>
    </row>
    <row r="214" spans="1:26" x14ac:dyDescent="0.3">
      <c r="A214">
        <v>20221024</v>
      </c>
      <c r="B214" s="5">
        <v>44858</v>
      </c>
      <c r="C214">
        <v>684726.76878906752</v>
      </c>
      <c r="D214" s="4">
        <v>857505.52930000797</v>
      </c>
      <c r="E214" s="5">
        <v>44858</v>
      </c>
      <c r="F214" s="4">
        <v>20221024</v>
      </c>
      <c r="G214" s="5"/>
      <c r="H214" s="4">
        <v>1307061.9008599999</v>
      </c>
      <c r="I214" s="4">
        <v>927825.68617999798</v>
      </c>
      <c r="J214" s="4">
        <v>657420.86899999797</v>
      </c>
      <c r="K214" s="4">
        <v>887484.11464000004</v>
      </c>
      <c r="L214" s="4">
        <v>904847.02046000003</v>
      </c>
      <c r="M214" s="4">
        <v>851473.12173999602</v>
      </c>
      <c r="N214" s="4">
        <v>923055.142600002</v>
      </c>
      <c r="O214" s="4">
        <v>1197886.210079998</v>
      </c>
      <c r="P214" s="4">
        <v>1450365.2078199999</v>
      </c>
      <c r="Q214" s="4">
        <v>1674385.9951144983</v>
      </c>
      <c r="R214" s="4">
        <v>1</v>
      </c>
      <c r="S214" s="4">
        <v>0</v>
      </c>
      <c r="T214">
        <f t="shared" si="9"/>
        <v>-47894.819957367377</v>
      </c>
      <c r="U214">
        <f t="shared" si="10"/>
        <v>47895.819957367377</v>
      </c>
      <c r="V214">
        <v>1425169.3182000001</v>
      </c>
      <c r="W214">
        <v>1</v>
      </c>
      <c r="X214">
        <v>1436352.2441639162</v>
      </c>
      <c r="Y214">
        <v>1</v>
      </c>
      <c r="Z214">
        <f t="shared" si="11"/>
        <v>-2.7808972561361608E-2</v>
      </c>
    </row>
    <row r="215" spans="1:26" x14ac:dyDescent="0.3">
      <c r="A215">
        <v>20221025</v>
      </c>
      <c r="B215" s="5">
        <v>44859</v>
      </c>
      <c r="C215">
        <v>701970.24300748261</v>
      </c>
      <c r="D215" s="4">
        <v>874681.17910000903</v>
      </c>
      <c r="E215" s="5">
        <v>44859</v>
      </c>
      <c r="F215" s="4">
        <v>20221025</v>
      </c>
      <c r="G215" s="5"/>
      <c r="H215" s="4">
        <v>1257848.88314</v>
      </c>
      <c r="I215" s="4">
        <v>918479.50297999789</v>
      </c>
      <c r="J215" s="4">
        <v>651138.59141999797</v>
      </c>
      <c r="K215" s="4">
        <v>851733.18403999996</v>
      </c>
      <c r="L215" s="4">
        <v>889684.10455999803</v>
      </c>
      <c r="M215" s="4">
        <v>837135.41525999596</v>
      </c>
      <c r="N215" s="4">
        <v>907954.48880000389</v>
      </c>
      <c r="O215" s="4">
        <v>1173955.836359998</v>
      </c>
      <c r="P215" s="4">
        <v>1376111.98746</v>
      </c>
      <c r="Q215" s="4">
        <v>1712794.9590813862</v>
      </c>
      <c r="R215" s="4">
        <v>1</v>
      </c>
      <c r="S215" s="4">
        <v>0</v>
      </c>
      <c r="T215">
        <f t="shared" si="9"/>
        <v>38408.96396688791</v>
      </c>
      <c r="U215">
        <f t="shared" si="10"/>
        <v>-38407.96396688791</v>
      </c>
      <c r="V215">
        <v>1457861.3928</v>
      </c>
      <c r="W215">
        <v>1</v>
      </c>
      <c r="X215">
        <v>1469300.8860309338</v>
      </c>
      <c r="Y215">
        <v>1</v>
      </c>
      <c r="Z215">
        <f t="shared" si="11"/>
        <v>2.2939109818564472E-2</v>
      </c>
    </row>
    <row r="216" spans="1:26" x14ac:dyDescent="0.3">
      <c r="A216">
        <v>20221026</v>
      </c>
      <c r="B216" s="5">
        <v>44860</v>
      </c>
      <c r="C216">
        <v>691420.33222532307</v>
      </c>
      <c r="D216" s="4">
        <v>871505.06470000802</v>
      </c>
      <c r="E216" s="5">
        <v>44860</v>
      </c>
      <c r="F216" s="4">
        <v>20221026</v>
      </c>
      <c r="G216" s="5"/>
      <c r="H216" s="4">
        <v>1207298.95102</v>
      </c>
      <c r="I216" s="4">
        <v>889516.99595999788</v>
      </c>
      <c r="J216" s="4">
        <v>620098.91519999807</v>
      </c>
      <c r="K216" s="4">
        <v>809291.80798000004</v>
      </c>
      <c r="L216" s="4">
        <v>862670.89657999796</v>
      </c>
      <c r="M216" s="4">
        <v>810570.57417999604</v>
      </c>
      <c r="N216" s="4">
        <v>878758.73264000402</v>
      </c>
      <c r="O216" s="4">
        <v>1127428.2842399981</v>
      </c>
      <c r="P216" s="4">
        <v>1340833.7577800001</v>
      </c>
      <c r="Q216" s="4">
        <v>1624861.9631094849</v>
      </c>
      <c r="R216" s="4">
        <v>3</v>
      </c>
      <c r="S216" s="4">
        <v>0</v>
      </c>
      <c r="T216">
        <f t="shared" si="9"/>
        <v>-87932.995971901342</v>
      </c>
      <c r="U216">
        <f t="shared" si="10"/>
        <v>87935.995971901342</v>
      </c>
      <c r="V216">
        <v>1383026.4081999999</v>
      </c>
      <c r="W216">
        <v>4</v>
      </c>
      <c r="X216">
        <v>1472742.3362643158</v>
      </c>
      <c r="Y216">
        <v>1</v>
      </c>
      <c r="Z216">
        <f t="shared" si="11"/>
        <v>2.3422365467146975E-3</v>
      </c>
    </row>
    <row r="217" spans="1:26" x14ac:dyDescent="0.3">
      <c r="A217">
        <v>20221027</v>
      </c>
      <c r="B217" s="5">
        <v>44861</v>
      </c>
      <c r="C217">
        <v>665748.58671012905</v>
      </c>
      <c r="D217" s="4">
        <v>857610.94430000696</v>
      </c>
      <c r="E217" s="5">
        <v>44861</v>
      </c>
      <c r="F217" s="4">
        <v>20221027</v>
      </c>
      <c r="G217" s="5"/>
      <c r="H217" s="4">
        <v>1219837.4256200001</v>
      </c>
      <c r="I217" s="4">
        <v>907933.9576799979</v>
      </c>
      <c r="J217" s="4">
        <v>621799.86647999799</v>
      </c>
      <c r="K217" s="4">
        <v>826185.84009999991</v>
      </c>
      <c r="L217" s="4">
        <v>868823.01511999802</v>
      </c>
      <c r="M217" s="4">
        <v>816045.96659999597</v>
      </c>
      <c r="N217" s="4">
        <v>886676.39386000391</v>
      </c>
      <c r="O217" s="4">
        <v>1134100.517159998</v>
      </c>
      <c r="P217" s="4">
        <v>1343177.8479800001</v>
      </c>
      <c r="Q217" s="4">
        <v>1624861.9631094849</v>
      </c>
      <c r="R217" s="4">
        <v>0</v>
      </c>
      <c r="S217" s="4">
        <v>0</v>
      </c>
      <c r="T217">
        <f t="shared" si="9"/>
        <v>0</v>
      </c>
      <c r="U217">
        <f t="shared" si="10"/>
        <v>0</v>
      </c>
      <c r="V217">
        <v>1370479.4498000001</v>
      </c>
      <c r="W217">
        <v>2</v>
      </c>
      <c r="X217">
        <v>1472742.3362643158</v>
      </c>
      <c r="Y217">
        <v>0</v>
      </c>
      <c r="Z217">
        <f t="shared" si="11"/>
        <v>0</v>
      </c>
    </row>
    <row r="218" spans="1:26" x14ac:dyDescent="0.3">
      <c r="A218">
        <v>20221028</v>
      </c>
      <c r="B218" s="5">
        <v>44862</v>
      </c>
      <c r="C218">
        <v>670047.32533451635</v>
      </c>
      <c r="D218" s="4">
        <v>861391.06440000504</v>
      </c>
      <c r="E218" s="5">
        <v>44862</v>
      </c>
      <c r="F218" s="4">
        <v>20221028</v>
      </c>
      <c r="G218" s="5"/>
      <c r="H218" s="4">
        <v>1252015.64124</v>
      </c>
      <c r="I218" s="4">
        <v>941491.64887999801</v>
      </c>
      <c r="J218" s="4">
        <v>641515.549639998</v>
      </c>
      <c r="K218" s="4">
        <v>858113.28377999994</v>
      </c>
      <c r="L218" s="4">
        <v>891943.13187999802</v>
      </c>
      <c r="M218" s="4">
        <v>834847.35615999601</v>
      </c>
      <c r="N218" s="4">
        <v>908612.192520004</v>
      </c>
      <c r="O218" s="4">
        <v>1154812.2482599979</v>
      </c>
      <c r="P218" s="4">
        <v>1404912.7236800001</v>
      </c>
      <c r="Q218" s="4">
        <v>1630075.5658784525</v>
      </c>
      <c r="R218" s="4">
        <v>2</v>
      </c>
      <c r="S218" s="4">
        <v>0</v>
      </c>
      <c r="T218">
        <f t="shared" si="9"/>
        <v>5213.6027689676266</v>
      </c>
      <c r="U218">
        <f t="shared" si="10"/>
        <v>-5211.6027689676266</v>
      </c>
      <c r="V218">
        <v>1374876.8813999998</v>
      </c>
      <c r="W218">
        <v>2</v>
      </c>
      <c r="X218">
        <v>1452645.7544562512</v>
      </c>
      <c r="Y218">
        <v>1</v>
      </c>
      <c r="Z218">
        <f t="shared" si="11"/>
        <v>-1.3645687581060906E-2</v>
      </c>
    </row>
    <row r="219" spans="1:26" x14ac:dyDescent="0.3">
      <c r="A219">
        <v>20221031</v>
      </c>
      <c r="B219" s="5">
        <v>44865</v>
      </c>
      <c r="C219">
        <v>691505.5909283543</v>
      </c>
      <c r="D219" s="4">
        <v>879614.740000005</v>
      </c>
      <c r="E219" s="5">
        <v>44865</v>
      </c>
      <c r="F219" s="4">
        <v>20221031</v>
      </c>
      <c r="G219" s="5"/>
      <c r="H219" s="4">
        <v>1267644.55418</v>
      </c>
      <c r="I219" s="4">
        <v>930867.26703999809</v>
      </c>
      <c r="J219" s="4">
        <v>660166.53641999804</v>
      </c>
      <c r="K219" s="4">
        <v>869098.50328000006</v>
      </c>
      <c r="L219" s="4">
        <v>902959.56155999808</v>
      </c>
      <c r="M219" s="4">
        <v>837250.52331999596</v>
      </c>
      <c r="N219" s="4">
        <v>918152.02588000405</v>
      </c>
      <c r="O219" s="4">
        <v>1155441.398559998</v>
      </c>
      <c r="P219" s="4">
        <v>1480531.1594799999</v>
      </c>
      <c r="Q219" s="4">
        <v>1666167.9375717114</v>
      </c>
      <c r="R219" s="4">
        <v>2</v>
      </c>
      <c r="S219" s="4">
        <v>0</v>
      </c>
      <c r="T219">
        <f t="shared" si="9"/>
        <v>36092.371693258872</v>
      </c>
      <c r="U219">
        <f t="shared" si="10"/>
        <v>-36090.371693258872</v>
      </c>
      <c r="V219">
        <v>1438122.6</v>
      </c>
      <c r="W219">
        <v>4</v>
      </c>
      <c r="X219">
        <v>1510431.3919633247</v>
      </c>
      <c r="Y219">
        <v>3</v>
      </c>
      <c r="Z219">
        <f t="shared" si="11"/>
        <v>3.9779579659945163E-2</v>
      </c>
    </row>
    <row r="220" spans="1:26" x14ac:dyDescent="0.3">
      <c r="A220">
        <v>20221101</v>
      </c>
      <c r="B220" s="5">
        <v>44866</v>
      </c>
      <c r="C220">
        <v>702797.18572262337</v>
      </c>
      <c r="D220" s="4">
        <v>894013.25420000497</v>
      </c>
      <c r="E220" s="5">
        <v>44866</v>
      </c>
      <c r="F220" s="4">
        <v>20221101</v>
      </c>
      <c r="G220" s="5"/>
      <c r="H220" s="4">
        <v>1261030.5134999999</v>
      </c>
      <c r="I220" s="4">
        <v>934019.87677999795</v>
      </c>
      <c r="J220" s="4">
        <v>650460.79295999801</v>
      </c>
      <c r="K220" s="4">
        <v>877071.65759999992</v>
      </c>
      <c r="L220" s="4">
        <v>908979.66587999801</v>
      </c>
      <c r="M220" s="4">
        <v>844808.21001999604</v>
      </c>
      <c r="N220" s="4">
        <v>922523.77050000394</v>
      </c>
      <c r="O220" s="4">
        <v>1151248.417299998</v>
      </c>
      <c r="P220" s="4">
        <v>1498308.8864800001</v>
      </c>
      <c r="Q220" s="4">
        <v>1741559.8030266808</v>
      </c>
      <c r="R220" s="4">
        <v>2</v>
      </c>
      <c r="S220" s="4">
        <v>0</v>
      </c>
      <c r="T220">
        <f t="shared" si="9"/>
        <v>75391.865454969462</v>
      </c>
      <c r="U220">
        <f t="shared" si="10"/>
        <v>-75389.865454969462</v>
      </c>
      <c r="V220">
        <v>1515695.7238</v>
      </c>
      <c r="W220">
        <v>4</v>
      </c>
      <c r="X220">
        <v>1595177.2843269103</v>
      </c>
      <c r="Y220">
        <v>3</v>
      </c>
      <c r="Z220">
        <f t="shared" si="11"/>
        <v>5.6107078292003135E-2</v>
      </c>
    </row>
    <row r="221" spans="1:26" x14ac:dyDescent="0.3">
      <c r="A221">
        <v>20221102</v>
      </c>
      <c r="B221" s="5">
        <v>44867</v>
      </c>
      <c r="C221">
        <v>702844.97593125259</v>
      </c>
      <c r="D221" s="4">
        <v>895454.199700005</v>
      </c>
      <c r="E221" s="5">
        <v>44867</v>
      </c>
      <c r="F221" s="4">
        <v>20221102</v>
      </c>
      <c r="G221" s="5"/>
      <c r="H221" s="4">
        <v>1272610.5056399999</v>
      </c>
      <c r="I221" s="4">
        <v>955737.91867999802</v>
      </c>
      <c r="J221" s="4">
        <v>651572.97281999805</v>
      </c>
      <c r="K221" s="4">
        <v>881504.16048000008</v>
      </c>
      <c r="L221" s="4">
        <v>932162.31803999806</v>
      </c>
      <c r="M221" s="4">
        <v>861719.63033999596</v>
      </c>
      <c r="N221" s="4">
        <v>941912.08864000405</v>
      </c>
      <c r="O221" s="4">
        <v>1169501.0808999981</v>
      </c>
      <c r="P221" s="4">
        <v>1536767.86962</v>
      </c>
      <c r="Q221" s="4">
        <v>1763153.4521646842</v>
      </c>
      <c r="R221" s="4">
        <v>2</v>
      </c>
      <c r="S221" s="4">
        <v>0</v>
      </c>
      <c r="T221">
        <f t="shared" si="9"/>
        <v>21593.649138003355</v>
      </c>
      <c r="U221">
        <f t="shared" si="10"/>
        <v>-21591.649138003355</v>
      </c>
      <c r="V221">
        <v>1533930.1602</v>
      </c>
      <c r="W221">
        <v>4</v>
      </c>
      <c r="X221">
        <v>1614563.8753944959</v>
      </c>
      <c r="Y221">
        <v>3</v>
      </c>
      <c r="Z221">
        <f t="shared" si="11"/>
        <v>1.2153251715696201E-2</v>
      </c>
    </row>
    <row r="222" spans="1:26" x14ac:dyDescent="0.3">
      <c r="A222">
        <v>20221103</v>
      </c>
      <c r="B222" s="5">
        <v>44868</v>
      </c>
      <c r="C222">
        <v>725066.82553527097</v>
      </c>
      <c r="D222" s="4">
        <v>912838.82760000497</v>
      </c>
      <c r="E222" s="5">
        <v>44868</v>
      </c>
      <c r="F222" s="4">
        <v>20221103</v>
      </c>
      <c r="G222" s="5"/>
      <c r="H222" s="4">
        <v>1282014.0485200002</v>
      </c>
      <c r="I222" s="4">
        <v>946162.55567999801</v>
      </c>
      <c r="J222" s="4">
        <v>644580.824039998</v>
      </c>
      <c r="K222" s="4">
        <v>884751.41566000006</v>
      </c>
      <c r="L222" s="4">
        <v>929240.26363999804</v>
      </c>
      <c r="M222" s="4">
        <v>850901.75049999601</v>
      </c>
      <c r="N222" s="4">
        <v>931695.90386000404</v>
      </c>
      <c r="O222" s="4">
        <v>1161483.5706199962</v>
      </c>
      <c r="P222" s="4">
        <v>1526349.7113399999</v>
      </c>
      <c r="Q222" s="4">
        <v>1796596.9734397186</v>
      </c>
      <c r="R222" s="4">
        <v>3</v>
      </c>
      <c r="S222" s="4">
        <v>0</v>
      </c>
      <c r="T222">
        <f t="shared" si="9"/>
        <v>33443.521275034407</v>
      </c>
      <c r="U222">
        <f t="shared" si="10"/>
        <v>-33440.521275034407</v>
      </c>
      <c r="V222">
        <v>1572805.8418000001</v>
      </c>
      <c r="W222">
        <v>1</v>
      </c>
      <c r="X222">
        <v>1645188.7936094485</v>
      </c>
      <c r="Y222">
        <v>3</v>
      </c>
      <c r="Z222">
        <f t="shared" si="11"/>
        <v>1.8967919870912391E-2</v>
      </c>
    </row>
    <row r="223" spans="1:26" x14ac:dyDescent="0.3">
      <c r="A223">
        <v>20221104</v>
      </c>
      <c r="B223" s="5">
        <v>44869</v>
      </c>
      <c r="C223">
        <v>726081.91909102025</v>
      </c>
      <c r="D223" s="4">
        <v>906948.14150000503</v>
      </c>
      <c r="E223" s="5">
        <v>44869</v>
      </c>
      <c r="F223" s="4">
        <v>20221104</v>
      </c>
      <c r="G223" s="5"/>
      <c r="H223" s="4">
        <v>1285715.1457400001</v>
      </c>
      <c r="I223" s="4">
        <v>944526.07227999787</v>
      </c>
      <c r="J223" s="4">
        <v>639785.25451999798</v>
      </c>
      <c r="K223" s="4">
        <v>881820.33704000001</v>
      </c>
      <c r="L223" s="4">
        <v>929646.01659999811</v>
      </c>
      <c r="M223" s="4">
        <v>851821.23999999592</v>
      </c>
      <c r="N223" s="4">
        <v>925357.41352000402</v>
      </c>
      <c r="O223" s="4">
        <v>1157059.4637999958</v>
      </c>
      <c r="P223" s="4">
        <v>1534947.5714799999</v>
      </c>
      <c r="Q223" s="4">
        <v>1796596.9734397186</v>
      </c>
      <c r="R223" s="4">
        <v>0</v>
      </c>
      <c r="S223" s="4">
        <v>0</v>
      </c>
      <c r="T223">
        <f t="shared" si="9"/>
        <v>0</v>
      </c>
      <c r="U223">
        <f t="shared" si="10"/>
        <v>0</v>
      </c>
      <c r="V223">
        <v>1563991.2009999999</v>
      </c>
      <c r="W223">
        <v>1</v>
      </c>
      <c r="X223">
        <v>1647204.893236812</v>
      </c>
      <c r="Y223">
        <v>3</v>
      </c>
      <c r="Z223">
        <f t="shared" si="11"/>
        <v>1.2254518357983038E-3</v>
      </c>
    </row>
    <row r="224" spans="1:26" x14ac:dyDescent="0.3">
      <c r="A224">
        <v>20221107</v>
      </c>
      <c r="B224" s="5">
        <v>44872</v>
      </c>
      <c r="C224">
        <v>719476.75187304919</v>
      </c>
      <c r="D224" s="4">
        <v>901808.749800005</v>
      </c>
      <c r="E224" s="5">
        <v>44872</v>
      </c>
      <c r="F224" s="4">
        <v>20221107</v>
      </c>
      <c r="G224" s="5"/>
      <c r="H224" s="4">
        <v>1307629.9908</v>
      </c>
      <c r="I224" s="4">
        <v>965835.13435999805</v>
      </c>
      <c r="J224" s="4">
        <v>654827.22459999798</v>
      </c>
      <c r="K224" s="4">
        <v>898853.23472000007</v>
      </c>
      <c r="L224" s="4">
        <v>945561.72731999797</v>
      </c>
      <c r="M224" s="4">
        <v>880576.70995999593</v>
      </c>
      <c r="N224" s="4">
        <v>930877.02238000405</v>
      </c>
      <c r="O224" s="4">
        <v>1195185.577319996</v>
      </c>
      <c r="P224" s="4">
        <v>1544402.80168</v>
      </c>
      <c r="Q224" s="4">
        <v>1806747.0037619651</v>
      </c>
      <c r="R224" s="4">
        <v>2</v>
      </c>
      <c r="S224" s="4">
        <v>0</v>
      </c>
      <c r="T224">
        <f t="shared" si="9"/>
        <v>10150.030322246486</v>
      </c>
      <c r="U224">
        <f t="shared" si="10"/>
        <v>-10148.030322246486</v>
      </c>
      <c r="V224">
        <v>1538152.8242000001</v>
      </c>
      <c r="W224">
        <v>1</v>
      </c>
      <c r="X224">
        <v>1648237.6124635416</v>
      </c>
      <c r="Y224">
        <v>3</v>
      </c>
      <c r="Z224">
        <f t="shared" si="11"/>
        <v>6.2695250054792099E-4</v>
      </c>
    </row>
    <row r="225" spans="1:26" x14ac:dyDescent="0.3">
      <c r="A225">
        <v>20221108</v>
      </c>
      <c r="B225" s="5">
        <v>44873</v>
      </c>
      <c r="C225">
        <v>709684.67328005703</v>
      </c>
      <c r="D225" s="4">
        <v>904810.24920000497</v>
      </c>
      <c r="E225" s="5">
        <v>44873</v>
      </c>
      <c r="F225" s="4">
        <v>20221108</v>
      </c>
      <c r="G225" s="5"/>
      <c r="H225" s="4">
        <v>1250873.90124</v>
      </c>
      <c r="I225" s="4">
        <v>947943.20383999799</v>
      </c>
      <c r="J225" s="4">
        <v>630758.15181999805</v>
      </c>
      <c r="K225" s="4">
        <v>880352.75866000005</v>
      </c>
      <c r="L225" s="4">
        <v>914287.12637999805</v>
      </c>
      <c r="M225" s="4">
        <v>850049.595899996</v>
      </c>
      <c r="N225" s="4">
        <v>910297.56454000401</v>
      </c>
      <c r="O225" s="4">
        <v>1167718.1431799959</v>
      </c>
      <c r="P225" s="4">
        <v>1522613.3414</v>
      </c>
      <c r="Q225" s="4">
        <v>1778533.2542178503</v>
      </c>
      <c r="R225" s="4">
        <v>2</v>
      </c>
      <c r="S225" s="4">
        <v>0</v>
      </c>
      <c r="T225">
        <f t="shared" si="9"/>
        <v>-28213.749544114806</v>
      </c>
      <c r="U225">
        <f t="shared" si="10"/>
        <v>28215.749544114806</v>
      </c>
      <c r="V225">
        <v>1520658.2552</v>
      </c>
      <c r="W225">
        <v>1</v>
      </c>
      <c r="X225">
        <v>1659220.4557537928</v>
      </c>
      <c r="Y225">
        <v>3</v>
      </c>
      <c r="Z225">
        <f t="shared" si="11"/>
        <v>6.6633859142649259E-3</v>
      </c>
    </row>
    <row r="226" spans="1:26" x14ac:dyDescent="0.3">
      <c r="A226">
        <v>20221109</v>
      </c>
      <c r="B226" s="5">
        <v>44874</v>
      </c>
      <c r="C226">
        <v>697188.54555294174</v>
      </c>
      <c r="D226" s="4">
        <v>886966.26970000495</v>
      </c>
      <c r="E226" s="5">
        <v>44874</v>
      </c>
      <c r="F226" s="4">
        <v>20221109</v>
      </c>
      <c r="G226" s="5"/>
      <c r="H226" s="4">
        <v>1250472.0469200001</v>
      </c>
      <c r="I226" s="4">
        <v>925792.55963999801</v>
      </c>
      <c r="J226" s="4">
        <v>626644.76791999792</v>
      </c>
      <c r="K226" s="4">
        <v>871269.36432000005</v>
      </c>
      <c r="L226" s="4">
        <v>910913.92713999806</v>
      </c>
      <c r="M226" s="4">
        <v>845639.57707999588</v>
      </c>
      <c r="N226" s="4">
        <v>904758.52202000399</v>
      </c>
      <c r="O226" s="4">
        <v>1159676.688499996</v>
      </c>
      <c r="P226" s="4">
        <v>1513718.1842399999</v>
      </c>
      <c r="Q226" s="4">
        <v>1753686.8079265542</v>
      </c>
      <c r="R226" s="4">
        <v>2</v>
      </c>
      <c r="S226" s="4">
        <v>0</v>
      </c>
      <c r="T226">
        <f t="shared" si="9"/>
        <v>-24846.446291296044</v>
      </c>
      <c r="U226">
        <f t="shared" si="10"/>
        <v>24848.446291296044</v>
      </c>
      <c r="V226">
        <v>1520658.2552</v>
      </c>
      <c r="W226">
        <v>0</v>
      </c>
      <c r="X226">
        <v>1640455.9471192569</v>
      </c>
      <c r="Y226">
        <v>3</v>
      </c>
      <c r="Z226">
        <f t="shared" si="11"/>
        <v>-1.1309231735580919E-2</v>
      </c>
    </row>
    <row r="227" spans="1:26" x14ac:dyDescent="0.3">
      <c r="A227">
        <v>20221110</v>
      </c>
      <c r="B227" s="5">
        <v>44875</v>
      </c>
      <c r="C227">
        <v>711431.41035004274</v>
      </c>
      <c r="D227" s="4">
        <v>882175.90570000501</v>
      </c>
      <c r="E227" s="5">
        <v>44875</v>
      </c>
      <c r="F227" s="4">
        <v>20221110</v>
      </c>
      <c r="G227" s="5"/>
      <c r="H227" s="4">
        <v>1247273.13372</v>
      </c>
      <c r="I227" s="4">
        <v>906529.71463999804</v>
      </c>
      <c r="J227" s="4">
        <v>626907.94251999795</v>
      </c>
      <c r="K227" s="4">
        <v>877554.69952000002</v>
      </c>
      <c r="L227" s="4">
        <v>918686.82663999801</v>
      </c>
      <c r="M227" s="4">
        <v>850345.59055999597</v>
      </c>
      <c r="N227" s="4">
        <v>902254.01432000403</v>
      </c>
      <c r="O227" s="4">
        <v>1156712.6824399959</v>
      </c>
      <c r="P227" s="4">
        <v>1497200.48752</v>
      </c>
      <c r="Q227" s="4">
        <v>1665550.5750851301</v>
      </c>
      <c r="R227" s="4">
        <v>1</v>
      </c>
      <c r="S227" s="4">
        <v>0</v>
      </c>
      <c r="T227">
        <f t="shared" si="9"/>
        <v>-88136.232841424178</v>
      </c>
      <c r="U227">
        <f t="shared" si="10"/>
        <v>88137.232841424178</v>
      </c>
      <c r="V227">
        <v>1520658.2552</v>
      </c>
      <c r="W227">
        <v>0</v>
      </c>
      <c r="X227">
        <v>1630877.5364985734</v>
      </c>
      <c r="Y227">
        <v>4</v>
      </c>
      <c r="Z227">
        <f t="shared" si="11"/>
        <v>-5.8388709782203289E-3</v>
      </c>
    </row>
    <row r="228" spans="1:26" x14ac:dyDescent="0.3">
      <c r="A228">
        <v>20221111</v>
      </c>
      <c r="B228" s="5">
        <v>44876</v>
      </c>
      <c r="C228">
        <v>702513.61762130493</v>
      </c>
      <c r="D228" s="4">
        <v>876867.08580000501</v>
      </c>
      <c r="E228" s="5">
        <v>44876</v>
      </c>
      <c r="F228" s="4">
        <v>20221111</v>
      </c>
      <c r="G228" s="5"/>
      <c r="H228" s="4">
        <v>1292369.2762800001</v>
      </c>
      <c r="I228" s="4">
        <v>933434.66395999806</v>
      </c>
      <c r="J228" s="4">
        <v>644559.27943999809</v>
      </c>
      <c r="K228" s="4">
        <v>902986.40145999996</v>
      </c>
      <c r="L228" s="4">
        <v>952005.35727999802</v>
      </c>
      <c r="M228" s="4">
        <v>878223.16575999593</v>
      </c>
      <c r="N228" s="4">
        <v>931353.71456000395</v>
      </c>
      <c r="O228" s="4">
        <v>1180968.0722399959</v>
      </c>
      <c r="P228" s="4">
        <v>1543360.1163000001</v>
      </c>
      <c r="Q228" s="4">
        <v>1637065.6721619242</v>
      </c>
      <c r="R228" s="4">
        <v>3</v>
      </c>
      <c r="S228" s="4">
        <v>0</v>
      </c>
      <c r="T228">
        <f t="shared" si="9"/>
        <v>-28484.902923205867</v>
      </c>
      <c r="U228">
        <f t="shared" si="10"/>
        <v>28487.902923205867</v>
      </c>
      <c r="V228">
        <v>1474022.5967999999</v>
      </c>
      <c r="W228">
        <v>2</v>
      </c>
      <c r="X228">
        <v>1613056.8165135572</v>
      </c>
      <c r="Y228">
        <v>4</v>
      </c>
      <c r="Z228">
        <f t="shared" si="11"/>
        <v>-1.092707428129552E-2</v>
      </c>
    </row>
    <row r="229" spans="1:26" x14ac:dyDescent="0.3">
      <c r="A229">
        <v>20221114</v>
      </c>
      <c r="B229" s="5">
        <v>44879</v>
      </c>
      <c r="C229">
        <v>719220.79647557484</v>
      </c>
      <c r="D229" s="4">
        <v>898935.40470000496</v>
      </c>
      <c r="E229" s="5">
        <v>44879</v>
      </c>
      <c r="F229" s="4">
        <v>20221114</v>
      </c>
      <c r="G229" s="5"/>
      <c r="H229" s="4">
        <v>1267419.4068399998</v>
      </c>
      <c r="I229" s="4">
        <v>906175.84447999799</v>
      </c>
      <c r="J229" s="4">
        <v>622348.70719999797</v>
      </c>
      <c r="K229" s="4">
        <v>875300.82520000008</v>
      </c>
      <c r="L229" s="4">
        <v>902809.49099999794</v>
      </c>
      <c r="M229" s="4">
        <v>872105.55755999591</v>
      </c>
      <c r="N229" s="4">
        <v>909636.95034000406</v>
      </c>
      <c r="O229" s="4">
        <v>1145185.682599996</v>
      </c>
      <c r="P229" s="4">
        <v>1522266.7220600001</v>
      </c>
      <c r="Q229" s="4">
        <v>1687638.1399202514</v>
      </c>
      <c r="R229" s="4">
        <v>4</v>
      </c>
      <c r="S229" s="4">
        <v>0</v>
      </c>
      <c r="T229">
        <f t="shared" si="9"/>
        <v>50572.467758327257</v>
      </c>
      <c r="U229">
        <f t="shared" si="10"/>
        <v>-50568.467758327257</v>
      </c>
      <c r="V229">
        <v>1519558.6318000001</v>
      </c>
      <c r="W229">
        <v>4</v>
      </c>
      <c r="X229">
        <v>1662888.1317298557</v>
      </c>
      <c r="Y229">
        <v>4</v>
      </c>
      <c r="Z229">
        <f t="shared" si="11"/>
        <v>3.089247366004335E-2</v>
      </c>
    </row>
    <row r="230" spans="1:26" x14ac:dyDescent="0.3">
      <c r="A230">
        <v>20221115</v>
      </c>
      <c r="B230" s="5">
        <v>44880</v>
      </c>
      <c r="C230">
        <v>710682.92640061327</v>
      </c>
      <c r="D230" s="4">
        <v>881802.71830000496</v>
      </c>
      <c r="E230" s="5">
        <v>44880</v>
      </c>
      <c r="F230" s="4">
        <v>20221115</v>
      </c>
      <c r="G230" s="5"/>
      <c r="H230" s="4">
        <v>1275920.2980200001</v>
      </c>
      <c r="I230" s="4">
        <v>913005.25253999792</v>
      </c>
      <c r="J230" s="4">
        <v>630650.41993999796</v>
      </c>
      <c r="K230" s="4">
        <v>873529.89902000001</v>
      </c>
      <c r="L230" s="4">
        <v>914499.56103999796</v>
      </c>
      <c r="M230" s="4">
        <v>892500.19385999604</v>
      </c>
      <c r="N230" s="4">
        <v>923904.09720000403</v>
      </c>
      <c r="O230" s="4">
        <v>1142885.407859996</v>
      </c>
      <c r="P230" s="4">
        <v>1520362.2379600001</v>
      </c>
      <c r="Q230" s="4">
        <v>1664502.9427012333</v>
      </c>
      <c r="R230" s="4">
        <v>4</v>
      </c>
      <c r="S230" s="4">
        <v>0</v>
      </c>
      <c r="T230">
        <f t="shared" si="9"/>
        <v>-23135.197219018126</v>
      </c>
      <c r="U230">
        <f t="shared" si="10"/>
        <v>23139.197219018126</v>
      </c>
      <c r="V230">
        <v>1508187.2518</v>
      </c>
      <c r="W230">
        <v>1</v>
      </c>
      <c r="X230">
        <v>1640091.5548086609</v>
      </c>
      <c r="Y230">
        <v>4</v>
      </c>
      <c r="Z230">
        <f t="shared" si="11"/>
        <v>-1.3709026173324212E-2</v>
      </c>
    </row>
    <row r="231" spans="1:26" x14ac:dyDescent="0.3">
      <c r="A231">
        <v>20221116</v>
      </c>
      <c r="B231" s="5">
        <v>44881</v>
      </c>
      <c r="C231">
        <v>705630.6814768312</v>
      </c>
      <c r="D231" s="4">
        <v>885851.95060000499</v>
      </c>
      <c r="E231" s="5">
        <v>44881</v>
      </c>
      <c r="F231" s="4">
        <v>20221116</v>
      </c>
      <c r="G231" s="5"/>
      <c r="H231" s="4">
        <v>1273644.7993399999</v>
      </c>
      <c r="I231" s="4">
        <v>911334.56785999797</v>
      </c>
      <c r="J231" s="4">
        <v>629529.62969999795</v>
      </c>
      <c r="K231" s="4">
        <v>871964.48366000003</v>
      </c>
      <c r="L231" s="4">
        <v>886947.14893999812</v>
      </c>
      <c r="M231" s="4">
        <v>865605.89791999606</v>
      </c>
      <c r="N231" s="4">
        <v>922246.98728000396</v>
      </c>
      <c r="O231" s="4">
        <v>1140776.9370199959</v>
      </c>
      <c r="P231" s="4">
        <v>1517615.03492</v>
      </c>
      <c r="Q231" s="4">
        <v>1662411.1275854229</v>
      </c>
      <c r="R231" s="4">
        <v>4</v>
      </c>
      <c r="S231" s="4">
        <v>0</v>
      </c>
      <c r="T231">
        <f t="shared" si="9"/>
        <v>-2091.8151158103719</v>
      </c>
      <c r="U231">
        <f t="shared" si="10"/>
        <v>2095.8151158103719</v>
      </c>
      <c r="V231">
        <v>1503244.6077999999</v>
      </c>
      <c r="W231">
        <v>1</v>
      </c>
      <c r="X231">
        <v>1638030.3295756206</v>
      </c>
      <c r="Y231">
        <v>4</v>
      </c>
      <c r="Z231">
        <f t="shared" si="11"/>
        <v>-1.2567744934707345E-3</v>
      </c>
    </row>
    <row r="232" spans="1:26" x14ac:dyDescent="0.3">
      <c r="A232">
        <v>20221117</v>
      </c>
      <c r="B232" s="5">
        <v>44882</v>
      </c>
      <c r="C232">
        <v>706772.39191946085</v>
      </c>
      <c r="D232" s="4">
        <v>884259.06160000502</v>
      </c>
      <c r="E232" s="5">
        <v>44882</v>
      </c>
      <c r="F232" s="4">
        <v>20221117</v>
      </c>
      <c r="G232" s="5"/>
      <c r="H232" s="4">
        <v>1274736.7374199999</v>
      </c>
      <c r="I232" s="4">
        <v>943099.38501999807</v>
      </c>
      <c r="J232" s="4">
        <v>644277.43509999802</v>
      </c>
      <c r="K232" s="4">
        <v>890948.47970000003</v>
      </c>
      <c r="L232" s="4">
        <v>898651.93283999804</v>
      </c>
      <c r="M232" s="4">
        <v>878079.66233999596</v>
      </c>
      <c r="N232" s="4">
        <v>948636.34500000405</v>
      </c>
      <c r="O232" s="4">
        <v>1153310.9000799959</v>
      </c>
      <c r="P232" s="4">
        <v>1550896.89904</v>
      </c>
      <c r="Q232" s="4">
        <v>1662411.1275854229</v>
      </c>
      <c r="R232" s="4">
        <v>0</v>
      </c>
      <c r="S232" s="4">
        <v>0</v>
      </c>
      <c r="T232">
        <f t="shared" si="9"/>
        <v>0</v>
      </c>
      <c r="U232">
        <f t="shared" si="10"/>
        <v>0</v>
      </c>
      <c r="V232">
        <v>1458664.9077999999</v>
      </c>
      <c r="W232">
        <v>1</v>
      </c>
      <c r="X232">
        <v>1635100.6553433782</v>
      </c>
      <c r="Y232">
        <v>4</v>
      </c>
      <c r="Z232">
        <f t="shared" si="11"/>
        <v>-1.7885347904403048E-3</v>
      </c>
    </row>
    <row r="233" spans="1:26" x14ac:dyDescent="0.3">
      <c r="A233">
        <v>20221118</v>
      </c>
      <c r="B233" s="5">
        <v>44883</v>
      </c>
      <c r="C233">
        <v>706032.40122512111</v>
      </c>
      <c r="D233" s="4">
        <v>902133.25460000499</v>
      </c>
      <c r="E233" s="5">
        <v>44883</v>
      </c>
      <c r="F233" s="4">
        <v>20221118</v>
      </c>
      <c r="G233" s="5"/>
      <c r="H233" s="4">
        <v>1272395.7610599999</v>
      </c>
      <c r="I233" s="4">
        <v>912036.24451999797</v>
      </c>
      <c r="J233" s="4">
        <v>631309.59033999802</v>
      </c>
      <c r="K233" s="4">
        <v>879501.88171999995</v>
      </c>
      <c r="L233" s="4">
        <v>890900.96769999806</v>
      </c>
      <c r="M233" s="4">
        <v>870498.07721999602</v>
      </c>
      <c r="N233" s="4">
        <v>935424.40432000405</v>
      </c>
      <c r="O233" s="4">
        <v>1140772.7965799959</v>
      </c>
      <c r="P233" s="4">
        <v>1529106.5227000001</v>
      </c>
      <c r="Q233" s="4">
        <v>1647902.6626009396</v>
      </c>
      <c r="R233" s="4">
        <v>1</v>
      </c>
      <c r="S233" s="4">
        <v>0</v>
      </c>
      <c r="T233">
        <f t="shared" si="9"/>
        <v>-14508.464984483318</v>
      </c>
      <c r="U233">
        <f t="shared" si="10"/>
        <v>14509.464984483318</v>
      </c>
      <c r="V233">
        <v>1518749.9495999999</v>
      </c>
      <c r="W233">
        <v>2</v>
      </c>
      <c r="X233">
        <v>1670980.933211318</v>
      </c>
      <c r="Y233">
        <v>4</v>
      </c>
      <c r="Z233">
        <f t="shared" si="11"/>
        <v>2.1943773155913008E-2</v>
      </c>
    </row>
    <row r="234" spans="1:26" x14ac:dyDescent="0.3">
      <c r="A234">
        <v>20221121</v>
      </c>
      <c r="B234" s="5">
        <v>44886</v>
      </c>
      <c r="C234">
        <v>693084.47301905358</v>
      </c>
      <c r="D234" s="4">
        <v>890043.08760000498</v>
      </c>
      <c r="E234" s="5">
        <v>44886</v>
      </c>
      <c r="F234" s="4">
        <v>20221121</v>
      </c>
      <c r="G234" s="5"/>
      <c r="H234" s="4">
        <v>1285939.5632200001</v>
      </c>
      <c r="I234" s="4">
        <v>930931.59131999803</v>
      </c>
      <c r="J234" s="4">
        <v>624483.34917999804</v>
      </c>
      <c r="K234" s="4">
        <v>892818.26989999996</v>
      </c>
      <c r="L234" s="4">
        <v>895452.42477999791</v>
      </c>
      <c r="M234" s="4">
        <v>873170.80063999596</v>
      </c>
      <c r="N234" s="4">
        <v>932552.36400000402</v>
      </c>
      <c r="O234" s="4">
        <v>1151879.587479996</v>
      </c>
      <c r="P234" s="4">
        <v>1537142.2272399999</v>
      </c>
      <c r="Q234" s="4">
        <v>1636402.9541077153</v>
      </c>
      <c r="R234" s="4">
        <v>2</v>
      </c>
      <c r="S234" s="4">
        <v>0</v>
      </c>
      <c r="T234">
        <f t="shared" si="9"/>
        <v>-11499.708493224345</v>
      </c>
      <c r="U234">
        <f t="shared" si="10"/>
        <v>11501.708493224345</v>
      </c>
      <c r="V234">
        <v>1508151.7009999999</v>
      </c>
      <c r="W234">
        <v>2</v>
      </c>
      <c r="X234">
        <v>1647475.844032445</v>
      </c>
      <c r="Y234">
        <v>4</v>
      </c>
      <c r="Z234">
        <f t="shared" si="11"/>
        <v>-1.4066641163702889E-2</v>
      </c>
    </row>
    <row r="235" spans="1:26" x14ac:dyDescent="0.3">
      <c r="A235">
        <v>20221122</v>
      </c>
      <c r="B235" s="5">
        <v>44887</v>
      </c>
      <c r="C235">
        <v>692121.77868603019</v>
      </c>
      <c r="D235" s="4">
        <v>889021.71960000496</v>
      </c>
      <c r="E235" s="5">
        <v>44887</v>
      </c>
      <c r="F235" s="4">
        <v>20221122</v>
      </c>
      <c r="G235" s="5"/>
      <c r="H235" s="4">
        <v>1339421.64068</v>
      </c>
      <c r="I235" s="4">
        <v>962917.22243999806</v>
      </c>
      <c r="J235" s="4">
        <v>624132.00049999799</v>
      </c>
      <c r="K235" s="4">
        <v>929504.58059999999</v>
      </c>
      <c r="L235" s="4">
        <v>962518.94249999803</v>
      </c>
      <c r="M235" s="4">
        <v>938473.21125999594</v>
      </c>
      <c r="N235" s="4">
        <v>963224.55174000398</v>
      </c>
      <c r="O235" s="4">
        <v>1200422.2731599961</v>
      </c>
      <c r="P235" s="4">
        <v>1553626.87014</v>
      </c>
      <c r="Q235" s="4">
        <v>1701060.0530545521</v>
      </c>
      <c r="R235" s="4">
        <v>2</v>
      </c>
      <c r="S235" s="4">
        <v>0</v>
      </c>
      <c r="T235">
        <f t="shared" si="9"/>
        <v>64657.098946836777</v>
      </c>
      <c r="U235">
        <f t="shared" si="10"/>
        <v>-64655.098946836777</v>
      </c>
      <c r="V235">
        <v>1567741.5393999999</v>
      </c>
      <c r="W235">
        <v>2</v>
      </c>
      <c r="X235">
        <v>1647475.844032445</v>
      </c>
      <c r="Y235">
        <v>0</v>
      </c>
      <c r="Z235">
        <f t="shared" si="11"/>
        <v>0</v>
      </c>
    </row>
    <row r="236" spans="1:26" x14ac:dyDescent="0.3">
      <c r="A236">
        <v>20221123</v>
      </c>
      <c r="B236" s="5">
        <v>44888</v>
      </c>
      <c r="C236">
        <v>690687.70236059278</v>
      </c>
      <c r="D236" s="4">
        <v>907152.274400005</v>
      </c>
      <c r="E236" s="5">
        <v>44888</v>
      </c>
      <c r="F236" s="4">
        <v>20221123</v>
      </c>
      <c r="G236" s="5"/>
      <c r="H236" s="4">
        <v>1281474.2037200001</v>
      </c>
      <c r="I236" s="4">
        <v>921266.0942999979</v>
      </c>
      <c r="J236" s="4">
        <v>597166.05193999805</v>
      </c>
      <c r="K236" s="4">
        <v>889316.01432000007</v>
      </c>
      <c r="L236" s="4">
        <v>895404.34859999793</v>
      </c>
      <c r="M236" s="4">
        <v>873032.89275999588</v>
      </c>
      <c r="N236" s="4">
        <v>896062.12140000402</v>
      </c>
      <c r="O236" s="4">
        <v>1148488.7390399962</v>
      </c>
      <c r="P236" s="4">
        <v>1486402.1682600002</v>
      </c>
      <c r="Q236" s="4">
        <v>1719309.8663845877</v>
      </c>
      <c r="R236" s="4">
        <v>4</v>
      </c>
      <c r="S236" s="4">
        <v>0</v>
      </c>
      <c r="T236">
        <f t="shared" si="9"/>
        <v>18249.813330035657</v>
      </c>
      <c r="U236">
        <f t="shared" si="10"/>
        <v>-18245.813330035657</v>
      </c>
      <c r="V236">
        <v>1584561.0496</v>
      </c>
      <c r="W236">
        <v>4</v>
      </c>
      <c r="X236">
        <v>1647475.844032445</v>
      </c>
      <c r="Y236">
        <v>0</v>
      </c>
      <c r="Z236">
        <f t="shared" si="11"/>
        <v>0</v>
      </c>
    </row>
    <row r="237" spans="1:26" x14ac:dyDescent="0.3">
      <c r="A237">
        <v>20221124</v>
      </c>
      <c r="B237" s="5">
        <v>44889</v>
      </c>
      <c r="C237">
        <v>682938.87702780915</v>
      </c>
      <c r="D237" s="4">
        <v>868132.08110000496</v>
      </c>
      <c r="E237" s="5">
        <v>44889</v>
      </c>
      <c r="F237" s="4">
        <v>20221124</v>
      </c>
      <c r="G237" s="5"/>
      <c r="H237" s="4">
        <v>1262394.3363399999</v>
      </c>
      <c r="I237" s="4">
        <v>938352.28637999797</v>
      </c>
      <c r="J237" s="4">
        <v>605767.37967999803</v>
      </c>
      <c r="K237" s="4">
        <v>893347.55221999995</v>
      </c>
      <c r="L237" s="4">
        <v>895157.13147999789</v>
      </c>
      <c r="M237" s="4">
        <v>872797.98521999607</v>
      </c>
      <c r="N237" s="4">
        <v>897662.76986000407</v>
      </c>
      <c r="O237" s="4">
        <v>1137918.0818399959</v>
      </c>
      <c r="P237" s="4">
        <v>1492541.0216399999</v>
      </c>
      <c r="Q237" s="4">
        <v>1644841.4845180095</v>
      </c>
      <c r="R237" s="4">
        <v>3</v>
      </c>
      <c r="S237" s="4">
        <v>0</v>
      </c>
      <c r="T237">
        <f t="shared" si="9"/>
        <v>-74468.381866578246</v>
      </c>
      <c r="U237">
        <f t="shared" si="10"/>
        <v>74471.381866578246</v>
      </c>
      <c r="V237">
        <v>1515928.7958</v>
      </c>
      <c r="W237">
        <v>3</v>
      </c>
      <c r="X237">
        <v>1647475.844032445</v>
      </c>
      <c r="Y237">
        <v>0</v>
      </c>
      <c r="Z237">
        <f t="shared" si="11"/>
        <v>0</v>
      </c>
    </row>
    <row r="238" spans="1:26" x14ac:dyDescent="0.3">
      <c r="A238">
        <v>20221125</v>
      </c>
      <c r="B238" s="5">
        <v>44890</v>
      </c>
      <c r="C238">
        <v>679805.55346000555</v>
      </c>
      <c r="D238" s="4">
        <v>868275.84280000499</v>
      </c>
      <c r="E238" s="5">
        <v>44890</v>
      </c>
      <c r="F238" s="4">
        <v>20221125</v>
      </c>
      <c r="G238" s="5"/>
      <c r="H238" s="4">
        <v>1266606.0627000001</v>
      </c>
      <c r="I238" s="4">
        <v>957946.605779998</v>
      </c>
      <c r="J238" s="4">
        <v>607789.59403999802</v>
      </c>
      <c r="K238" s="4">
        <v>914311.32062000001</v>
      </c>
      <c r="L238" s="4">
        <v>928885.7264399979</v>
      </c>
      <c r="M238" s="4">
        <v>877568.62001999596</v>
      </c>
      <c r="N238" s="4">
        <v>915468.80028000404</v>
      </c>
      <c r="O238" s="4">
        <v>1148379.7952999962</v>
      </c>
      <c r="P238" s="4">
        <v>1519183.1841</v>
      </c>
      <c r="Q238" s="4">
        <v>1723233.9774587231</v>
      </c>
      <c r="R238" s="4">
        <v>1</v>
      </c>
      <c r="S238" s="4">
        <v>0</v>
      </c>
      <c r="T238">
        <f t="shared" si="9"/>
        <v>78392.492940713651</v>
      </c>
      <c r="U238">
        <f t="shared" si="10"/>
        <v>-78391.492940713651</v>
      </c>
      <c r="V238">
        <v>1588177.3878000001</v>
      </c>
      <c r="W238">
        <v>1</v>
      </c>
      <c r="X238">
        <v>1647475.844032445</v>
      </c>
      <c r="Y238">
        <v>0</v>
      </c>
      <c r="Z238">
        <f t="shared" si="11"/>
        <v>0</v>
      </c>
    </row>
    <row r="239" spans="1:26" x14ac:dyDescent="0.3">
      <c r="A239">
        <v>20221128</v>
      </c>
      <c r="B239" s="5">
        <v>44893</v>
      </c>
      <c r="C239">
        <v>691916.96920044895</v>
      </c>
      <c r="D239" s="4">
        <v>882764.90300000506</v>
      </c>
      <c r="E239" s="5">
        <v>44893</v>
      </c>
      <c r="F239" s="4">
        <v>20221128</v>
      </c>
      <c r="G239" s="5"/>
      <c r="H239" s="4">
        <v>1253599.1376199999</v>
      </c>
      <c r="I239" s="4">
        <v>936021.42313999799</v>
      </c>
      <c r="J239" s="4">
        <v>601246.42499999807</v>
      </c>
      <c r="K239" s="4">
        <v>901264.88665999996</v>
      </c>
      <c r="L239" s="4">
        <v>920853.17025999795</v>
      </c>
      <c r="M239" s="4">
        <v>871810.10565999593</v>
      </c>
      <c r="N239" s="4">
        <v>901253.24064000393</v>
      </c>
      <c r="O239" s="4">
        <v>1138046.1177399959</v>
      </c>
      <c r="P239" s="4">
        <v>1500926.43946</v>
      </c>
      <c r="Q239" s="4">
        <v>1773068.2756569558</v>
      </c>
      <c r="R239" s="4">
        <v>1</v>
      </c>
      <c r="S239" s="4">
        <v>0</v>
      </c>
      <c r="T239">
        <f t="shared" si="9"/>
        <v>49834.29819823266</v>
      </c>
      <c r="U239">
        <f t="shared" si="10"/>
        <v>-49833.29819823266</v>
      </c>
      <c r="V239">
        <v>1634105.9679999999</v>
      </c>
      <c r="W239">
        <v>1</v>
      </c>
      <c r="X239">
        <v>1647475.844032445</v>
      </c>
      <c r="Y239">
        <v>0</v>
      </c>
      <c r="Z239">
        <f t="shared" si="11"/>
        <v>0</v>
      </c>
    </row>
    <row r="240" spans="1:26" x14ac:dyDescent="0.3">
      <c r="A240">
        <v>20221129</v>
      </c>
      <c r="B240" s="5">
        <v>44894</v>
      </c>
      <c r="C240">
        <v>693538.13065928558</v>
      </c>
      <c r="D240" s="4">
        <v>871382.507200005</v>
      </c>
      <c r="E240" s="5">
        <v>44894</v>
      </c>
      <c r="F240" s="4">
        <v>20221129</v>
      </c>
      <c r="G240" s="5"/>
      <c r="H240" s="4">
        <v>1273958.05694</v>
      </c>
      <c r="I240" s="4">
        <v>940363.30849999806</v>
      </c>
      <c r="J240" s="4">
        <v>603375.82195999799</v>
      </c>
      <c r="K240" s="4">
        <v>912931.88673999999</v>
      </c>
      <c r="L240" s="4">
        <v>933758.76239999791</v>
      </c>
      <c r="M240" s="4">
        <v>896584.84223999607</v>
      </c>
      <c r="N240" s="4">
        <v>902690.72732000402</v>
      </c>
      <c r="O240" s="4">
        <v>1156561.1098999961</v>
      </c>
      <c r="P240" s="4">
        <v>1488810.33018</v>
      </c>
      <c r="Q240" s="4">
        <v>1731412.8306503911</v>
      </c>
      <c r="R240" s="4">
        <v>1</v>
      </c>
      <c r="S240" s="4">
        <v>0</v>
      </c>
      <c r="T240">
        <f t="shared" si="9"/>
        <v>-41655.445006564725</v>
      </c>
      <c r="U240">
        <f t="shared" si="10"/>
        <v>41656.445006564725</v>
      </c>
      <c r="V240">
        <v>1595715.4206000001</v>
      </c>
      <c r="W240">
        <v>1</v>
      </c>
      <c r="X240">
        <v>1647475.844032445</v>
      </c>
      <c r="Y240">
        <v>0</v>
      </c>
      <c r="Z240">
        <f t="shared" si="11"/>
        <v>0</v>
      </c>
    </row>
    <row r="241" spans="1:26" x14ac:dyDescent="0.3">
      <c r="A241">
        <v>20221130</v>
      </c>
      <c r="B241" s="5">
        <v>44895</v>
      </c>
      <c r="C241">
        <v>704134.00621949811</v>
      </c>
      <c r="D241" s="4">
        <v>878360.86100000399</v>
      </c>
      <c r="E241" s="5">
        <v>44895</v>
      </c>
      <c r="F241" s="4">
        <v>20221130</v>
      </c>
      <c r="G241" s="5"/>
      <c r="H241" s="4">
        <v>1288236.4690999999</v>
      </c>
      <c r="I241" s="4">
        <v>950920.43613999803</v>
      </c>
      <c r="J241" s="4">
        <v>610094.98173999798</v>
      </c>
      <c r="K241" s="4">
        <v>923122.00644000003</v>
      </c>
      <c r="L241" s="4">
        <v>944156.68785999808</v>
      </c>
      <c r="M241" s="4">
        <v>906597.17835999595</v>
      </c>
      <c r="N241" s="4">
        <v>919351.51050000393</v>
      </c>
      <c r="O241" s="4">
        <v>1169483.0493399962</v>
      </c>
      <c r="P241" s="4">
        <v>1505467.0112400001</v>
      </c>
      <c r="Q241" s="4">
        <v>1703086.3688661642</v>
      </c>
      <c r="R241" s="4">
        <v>2</v>
      </c>
      <c r="S241" s="4">
        <v>0</v>
      </c>
      <c r="T241">
        <f t="shared" si="9"/>
        <v>-28326.46178422682</v>
      </c>
      <c r="U241">
        <f t="shared" si="10"/>
        <v>28328.46178422682</v>
      </c>
      <c r="V241">
        <v>1570845.5566</v>
      </c>
      <c r="W241">
        <v>1</v>
      </c>
      <c r="X241">
        <v>1647475.844032445</v>
      </c>
      <c r="Y241">
        <v>0</v>
      </c>
      <c r="Z241">
        <f t="shared" si="11"/>
        <v>0</v>
      </c>
    </row>
    <row r="242" spans="1:26" x14ac:dyDescent="0.3">
      <c r="A242">
        <v>20221201</v>
      </c>
      <c r="B242" s="5">
        <v>44896</v>
      </c>
      <c r="C242">
        <v>704755.05241298373</v>
      </c>
      <c r="D242" s="4">
        <v>888184.40840000496</v>
      </c>
      <c r="E242" s="5">
        <v>44896</v>
      </c>
      <c r="F242" s="4">
        <v>20221201</v>
      </c>
      <c r="G242" s="5"/>
      <c r="H242" s="4">
        <v>1272767.9405200002</v>
      </c>
      <c r="I242" s="4">
        <v>932349.93413999805</v>
      </c>
      <c r="J242" s="4">
        <v>618883.43215999799</v>
      </c>
      <c r="K242" s="4">
        <v>907424.66207999992</v>
      </c>
      <c r="L242" s="4">
        <v>941798.84435999801</v>
      </c>
      <c r="M242" s="4">
        <v>901255.90141999593</v>
      </c>
      <c r="N242" s="4">
        <v>918007.18956000393</v>
      </c>
      <c r="O242" s="4">
        <v>1191393.6554399959</v>
      </c>
      <c r="P242" s="4">
        <v>1498453.8327600001</v>
      </c>
      <c r="Q242" s="4">
        <v>1697042.2337874207</v>
      </c>
      <c r="R242" s="4">
        <v>2</v>
      </c>
      <c r="S242" s="4">
        <v>0</v>
      </c>
      <c r="T242">
        <f t="shared" si="9"/>
        <v>-6044.1350787435658</v>
      </c>
      <c r="U242">
        <f t="shared" si="10"/>
        <v>6046.1350787435658</v>
      </c>
      <c r="V242">
        <v>1570845.5566</v>
      </c>
      <c r="W242">
        <v>0</v>
      </c>
      <c r="X242">
        <v>1647475.844032445</v>
      </c>
      <c r="Y242">
        <v>0</v>
      </c>
      <c r="Z242">
        <f t="shared" si="11"/>
        <v>0</v>
      </c>
    </row>
    <row r="243" spans="1:26" x14ac:dyDescent="0.3">
      <c r="A243">
        <v>20221202</v>
      </c>
      <c r="B243" s="5">
        <v>44897</v>
      </c>
      <c r="C243">
        <v>702906.47991050442</v>
      </c>
      <c r="D243" s="4">
        <v>887139.62280000397</v>
      </c>
      <c r="E243" s="5">
        <v>44897</v>
      </c>
      <c r="F243" s="4">
        <v>20221202</v>
      </c>
      <c r="G243" s="5"/>
      <c r="H243" s="4">
        <v>1266521.9162599999</v>
      </c>
      <c r="I243" s="4">
        <v>927777.20055999793</v>
      </c>
      <c r="J243" s="4">
        <v>615844.46193999797</v>
      </c>
      <c r="K243" s="4">
        <v>902969.37427999987</v>
      </c>
      <c r="L243" s="4">
        <v>937170.68529999792</v>
      </c>
      <c r="M243" s="4">
        <v>896832.62535999599</v>
      </c>
      <c r="N243" s="4">
        <v>927421.78434000409</v>
      </c>
      <c r="O243" s="4">
        <v>1185546.2873799959</v>
      </c>
      <c r="P243" s="4">
        <v>1491092.31886</v>
      </c>
      <c r="Q243" s="4">
        <v>1689046.9220839811</v>
      </c>
      <c r="R243" s="4">
        <v>4</v>
      </c>
      <c r="S243" s="4">
        <v>0</v>
      </c>
      <c r="T243">
        <f t="shared" si="9"/>
        <v>-7995.3117034395691</v>
      </c>
      <c r="U243">
        <f t="shared" si="10"/>
        <v>7999.3117034395691</v>
      </c>
      <c r="V243">
        <v>1563445.1938</v>
      </c>
      <c r="W243">
        <v>4</v>
      </c>
      <c r="X243">
        <v>1651890.509599885</v>
      </c>
      <c r="Y243">
        <v>2</v>
      </c>
      <c r="Z243">
        <f t="shared" si="11"/>
        <v>2.679654201565968E-3</v>
      </c>
    </row>
    <row r="244" spans="1:26" x14ac:dyDescent="0.3">
      <c r="A244">
        <v>20221205</v>
      </c>
      <c r="B244" s="5">
        <v>44900</v>
      </c>
      <c r="C244">
        <v>707677.80909613695</v>
      </c>
      <c r="D244" s="4">
        <v>882790.92890000402</v>
      </c>
      <c r="E244" s="5">
        <v>44900</v>
      </c>
      <c r="F244" s="4">
        <v>20221205</v>
      </c>
      <c r="G244" s="5"/>
      <c r="H244" s="4">
        <v>1303583.3796599999</v>
      </c>
      <c r="I244" s="4">
        <v>949674.75071999803</v>
      </c>
      <c r="J244" s="4">
        <v>612522.35115999798</v>
      </c>
      <c r="K244" s="4">
        <v>913335.36062000005</v>
      </c>
      <c r="L244" s="4">
        <v>951292.76981999795</v>
      </c>
      <c r="M244" s="4">
        <v>908491.75091999606</v>
      </c>
      <c r="N244" s="4">
        <v>946616.42100000405</v>
      </c>
      <c r="O244" s="4">
        <v>1220007.991919996</v>
      </c>
      <c r="P244" s="4">
        <v>1485296.6669399999</v>
      </c>
      <c r="Q244" s="4">
        <v>1667933.940984986</v>
      </c>
      <c r="R244" s="4">
        <v>2</v>
      </c>
      <c r="S244" s="4">
        <v>0</v>
      </c>
      <c r="T244">
        <f t="shared" si="9"/>
        <v>-21112.981098995078</v>
      </c>
      <c r="U244">
        <f t="shared" si="10"/>
        <v>21114.981098995078</v>
      </c>
      <c r="V244">
        <v>1543902.246</v>
      </c>
      <c r="W244">
        <v>2</v>
      </c>
      <c r="X244">
        <v>1631242.0090258373</v>
      </c>
      <c r="Y244">
        <v>2</v>
      </c>
      <c r="Z244">
        <f t="shared" si="11"/>
        <v>-1.2499920820447768E-2</v>
      </c>
    </row>
    <row r="245" spans="1:26" x14ac:dyDescent="0.3">
      <c r="A245">
        <v>20221206</v>
      </c>
      <c r="B245" s="5">
        <v>44901</v>
      </c>
      <c r="C245">
        <v>713806.29892290954</v>
      </c>
      <c r="D245" s="4">
        <v>894092.12800000398</v>
      </c>
      <c r="E245" s="5">
        <v>44901</v>
      </c>
      <c r="F245" s="4">
        <v>20221206</v>
      </c>
      <c r="G245" s="5"/>
      <c r="H245" s="4">
        <v>1312684.28676</v>
      </c>
      <c r="I245" s="4">
        <v>956297.86695999803</v>
      </c>
      <c r="J245" s="4">
        <v>616793.22445999808</v>
      </c>
      <c r="K245" s="4">
        <v>919706.52872000006</v>
      </c>
      <c r="L245" s="4">
        <v>957958.11149999802</v>
      </c>
      <c r="M245" s="4">
        <v>923452.27267999598</v>
      </c>
      <c r="N245" s="4">
        <v>953253.25652000401</v>
      </c>
      <c r="O245" s="4">
        <v>1228563.009899996</v>
      </c>
      <c r="P245" s="4">
        <v>1495715.05106</v>
      </c>
      <c r="Q245" s="4">
        <v>1657273.8589465504</v>
      </c>
      <c r="R245" s="4">
        <v>1</v>
      </c>
      <c r="S245" s="4">
        <v>0</v>
      </c>
      <c r="T245">
        <f t="shared" si="9"/>
        <v>-10660.082038435619</v>
      </c>
      <c r="U245">
        <f t="shared" si="10"/>
        <v>10661.082038435619</v>
      </c>
      <c r="V245">
        <v>1539384.2897999999</v>
      </c>
      <c r="W245">
        <v>2</v>
      </c>
      <c r="X245">
        <v>1626468.4640180566</v>
      </c>
      <c r="Y245">
        <v>2</v>
      </c>
      <c r="Z245">
        <f t="shared" si="11"/>
        <v>-2.9263254510171529E-3</v>
      </c>
    </row>
    <row r="246" spans="1:26" x14ac:dyDescent="0.3">
      <c r="A246">
        <v>20221207</v>
      </c>
      <c r="B246" s="5">
        <v>44902</v>
      </c>
      <c r="C246">
        <v>713134.60719562299</v>
      </c>
      <c r="D246" s="4">
        <v>900115.80440000398</v>
      </c>
      <c r="E246" s="5">
        <v>44902</v>
      </c>
      <c r="F246" s="4">
        <v>20221207</v>
      </c>
      <c r="G246" s="5"/>
      <c r="H246" s="4">
        <v>1319370.14842</v>
      </c>
      <c r="I246" s="4">
        <v>961152.4141799981</v>
      </c>
      <c r="J246" s="4">
        <v>619917.460139998</v>
      </c>
      <c r="K246" s="4">
        <v>924343.77831999992</v>
      </c>
      <c r="L246" s="4">
        <v>962831.40369999805</v>
      </c>
      <c r="M246" s="4">
        <v>933875.674299996</v>
      </c>
      <c r="N246" s="4">
        <v>964016.00104000396</v>
      </c>
      <c r="O246" s="4">
        <v>1234831.5925399959</v>
      </c>
      <c r="P246" s="4">
        <v>1503367.70976</v>
      </c>
      <c r="Q246" s="4">
        <v>1637601.1856753686</v>
      </c>
      <c r="R246" s="4">
        <v>1</v>
      </c>
      <c r="S246" s="4">
        <v>0</v>
      </c>
      <c r="T246">
        <f t="shared" si="9"/>
        <v>-19672.67327118176</v>
      </c>
      <c r="U246">
        <f t="shared" si="10"/>
        <v>19673.67327118176</v>
      </c>
      <c r="V246">
        <v>1521110.8948000001</v>
      </c>
      <c r="W246">
        <v>1</v>
      </c>
      <c r="X246">
        <v>1655225.0364093725</v>
      </c>
      <c r="Y246">
        <v>2</v>
      </c>
      <c r="Z246">
        <f t="shared" si="11"/>
        <v>1.7680375013404859E-2</v>
      </c>
    </row>
    <row r="247" spans="1:26" x14ac:dyDescent="0.3">
      <c r="A247">
        <v>20221208</v>
      </c>
      <c r="B247" s="5">
        <v>44903</v>
      </c>
      <c r="C247">
        <v>715730.41716581513</v>
      </c>
      <c r="D247" s="4">
        <v>904549.66080000403</v>
      </c>
      <c r="E247" s="5">
        <v>44903</v>
      </c>
      <c r="F247" s="4">
        <v>20221208</v>
      </c>
      <c r="G247" s="5"/>
      <c r="H247" s="4">
        <v>1352378.8821399999</v>
      </c>
      <c r="I247" s="4">
        <v>974827.49463999795</v>
      </c>
      <c r="J247" s="4">
        <v>630653.56391999801</v>
      </c>
      <c r="K247" s="4">
        <v>936742.82004000002</v>
      </c>
      <c r="L247" s="4">
        <v>968784.37457999797</v>
      </c>
      <c r="M247" s="4">
        <v>942832.84815999609</v>
      </c>
      <c r="N247" s="4">
        <v>972137.53556000406</v>
      </c>
      <c r="O247" s="4">
        <v>1262422.7595199959</v>
      </c>
      <c r="P247" s="4">
        <v>1510820.5118799999</v>
      </c>
      <c r="Q247" s="4">
        <v>1672820.3323832864</v>
      </c>
      <c r="R247" s="4">
        <v>1</v>
      </c>
      <c r="S247" s="4">
        <v>0</v>
      </c>
      <c r="T247">
        <f t="shared" si="9"/>
        <v>35219.146707917796</v>
      </c>
      <c r="U247">
        <f t="shared" si="10"/>
        <v>-35218.146707917796</v>
      </c>
      <c r="V247">
        <v>1553824.7701999999</v>
      </c>
      <c r="W247">
        <v>1</v>
      </c>
      <c r="X247">
        <v>1660878.596311752</v>
      </c>
      <c r="Y247">
        <v>2</v>
      </c>
      <c r="Z247">
        <f t="shared" si="11"/>
        <v>3.4155838499420063E-3</v>
      </c>
    </row>
    <row r="248" spans="1:26" x14ac:dyDescent="0.3">
      <c r="A248">
        <v>20221209</v>
      </c>
      <c r="B248" s="5">
        <v>44904</v>
      </c>
      <c r="C248">
        <v>710069.70529645064</v>
      </c>
      <c r="D248" s="4">
        <v>910043.48820000398</v>
      </c>
      <c r="E248" s="5">
        <v>44904</v>
      </c>
      <c r="F248" s="4">
        <v>20221209</v>
      </c>
      <c r="G248" s="5"/>
      <c r="H248" s="4">
        <v>1357779.1794</v>
      </c>
      <c r="I248" s="4">
        <v>976110.22851999791</v>
      </c>
      <c r="J248" s="4">
        <v>633169.54263999802</v>
      </c>
      <c r="K248" s="4">
        <v>943451.66599999997</v>
      </c>
      <c r="L248" s="4">
        <v>973568.19973999797</v>
      </c>
      <c r="M248" s="4">
        <v>950875.36459999601</v>
      </c>
      <c r="N248" s="4">
        <v>967058.73064000404</v>
      </c>
      <c r="O248" s="4">
        <v>1245897.1921199961</v>
      </c>
      <c r="P248" s="4">
        <v>1523754.0475600001</v>
      </c>
      <c r="Q248" s="4">
        <v>1672820.3323832864</v>
      </c>
      <c r="R248" s="4">
        <v>0</v>
      </c>
      <c r="S248" s="4">
        <v>0</v>
      </c>
      <c r="T248">
        <f t="shared" si="9"/>
        <v>0</v>
      </c>
      <c r="U248">
        <f t="shared" si="10"/>
        <v>0</v>
      </c>
      <c r="V248">
        <v>1575834.352</v>
      </c>
      <c r="W248">
        <v>1</v>
      </c>
      <c r="X248">
        <v>1651291.891302933</v>
      </c>
      <c r="Y248">
        <v>2</v>
      </c>
      <c r="Z248">
        <f t="shared" si="11"/>
        <v>-5.7720684883939269E-3</v>
      </c>
    </row>
    <row r="249" spans="1:26" x14ac:dyDescent="0.3">
      <c r="A249">
        <v>20221212</v>
      </c>
      <c r="B249" s="5">
        <v>44907</v>
      </c>
      <c r="C249">
        <v>702572.78934793058</v>
      </c>
      <c r="D249" s="4">
        <v>914310.61760000396</v>
      </c>
      <c r="E249" s="5">
        <v>44907</v>
      </c>
      <c r="F249" s="4">
        <v>20221212</v>
      </c>
      <c r="G249" s="5"/>
      <c r="H249" s="4">
        <v>1333272.2404</v>
      </c>
      <c r="I249" s="4">
        <v>972847.66441999807</v>
      </c>
      <c r="J249" s="4">
        <v>618436.49951999797</v>
      </c>
      <c r="K249" s="4">
        <v>943417.29848</v>
      </c>
      <c r="L249" s="4">
        <v>969190.13193999813</v>
      </c>
      <c r="M249" s="4">
        <v>942122.05177999602</v>
      </c>
      <c r="N249" s="4">
        <v>964364.00590000395</v>
      </c>
      <c r="O249" s="4">
        <v>1245492.0623199961</v>
      </c>
      <c r="P249" s="4">
        <v>1548318.12262</v>
      </c>
      <c r="Q249" s="4">
        <v>1687172.3952547717</v>
      </c>
      <c r="R249" s="4">
        <v>4</v>
      </c>
      <c r="S249" s="4">
        <v>0</v>
      </c>
      <c r="T249">
        <f t="shared" si="9"/>
        <v>14352.06287148525</v>
      </c>
      <c r="U249">
        <f t="shared" si="10"/>
        <v>-14348.06287148525</v>
      </c>
      <c r="V249">
        <v>1575834.352</v>
      </c>
      <c r="W249">
        <v>0</v>
      </c>
      <c r="X249">
        <v>1722215.6244419417</v>
      </c>
      <c r="Y249">
        <v>2</v>
      </c>
      <c r="Z249">
        <f t="shared" si="11"/>
        <v>4.2950452014299659E-2</v>
      </c>
    </row>
    <row r="250" spans="1:26" x14ac:dyDescent="0.3">
      <c r="A250">
        <v>20221213</v>
      </c>
      <c r="B250" s="5">
        <v>44908</v>
      </c>
      <c r="C250">
        <v>700158.74924373114</v>
      </c>
      <c r="D250" s="4">
        <v>910174.52880000405</v>
      </c>
      <c r="E250" s="5">
        <v>44908</v>
      </c>
      <c r="F250" s="4">
        <v>20221213</v>
      </c>
      <c r="G250" s="5"/>
      <c r="H250" s="4">
        <v>1365480.965699998</v>
      </c>
      <c r="I250" s="4">
        <v>961249.05323999806</v>
      </c>
      <c r="J250" s="4">
        <v>610099.16693999805</v>
      </c>
      <c r="K250" s="4">
        <v>944646.22334000003</v>
      </c>
      <c r="L250" s="4">
        <v>992952.47915999801</v>
      </c>
      <c r="M250" s="4">
        <v>964961.47491999599</v>
      </c>
      <c r="N250" s="4">
        <v>989835.32788000407</v>
      </c>
      <c r="O250" s="4">
        <v>1298862.6618799961</v>
      </c>
      <c r="P250" s="4">
        <v>1617154.49514</v>
      </c>
      <c r="Q250" s="4">
        <v>1714391.2804149606</v>
      </c>
      <c r="R250" s="4">
        <v>4</v>
      </c>
      <c r="S250" s="4">
        <v>0</v>
      </c>
      <c r="T250">
        <f t="shared" si="9"/>
        <v>27218.885160188889</v>
      </c>
      <c r="U250">
        <f t="shared" si="10"/>
        <v>-27214.885160188889</v>
      </c>
      <c r="V250">
        <v>1579150.9939999999</v>
      </c>
      <c r="W250">
        <v>2</v>
      </c>
      <c r="X250">
        <v>1725840.3307045575</v>
      </c>
      <c r="Y250">
        <v>2</v>
      </c>
      <c r="Z250">
        <f t="shared" si="11"/>
        <v>2.104676215436307E-3</v>
      </c>
    </row>
    <row r="251" spans="1:26" x14ac:dyDescent="0.3">
      <c r="A251">
        <v>20221214</v>
      </c>
      <c r="B251" s="5">
        <v>44909</v>
      </c>
      <c r="C251">
        <v>709326.62790632853</v>
      </c>
      <c r="D251" s="4">
        <v>931735.70730000397</v>
      </c>
      <c r="E251" s="5">
        <v>44909</v>
      </c>
      <c r="F251" s="4">
        <v>20221214</v>
      </c>
      <c r="G251" s="5"/>
      <c r="H251" s="4">
        <v>1376924.7361999978</v>
      </c>
      <c r="I251" s="4">
        <v>969310.69427999796</v>
      </c>
      <c r="J251" s="4">
        <v>615213.08265999798</v>
      </c>
      <c r="K251" s="4">
        <v>955589.63333999994</v>
      </c>
      <c r="L251" s="4">
        <v>997386.53927999793</v>
      </c>
      <c r="M251" s="4">
        <v>973057.40659999603</v>
      </c>
      <c r="N251" s="4">
        <v>994260.62276000401</v>
      </c>
      <c r="O251" s="4">
        <v>1313938.8717399961</v>
      </c>
      <c r="P251" s="4">
        <v>1610022.0830999999</v>
      </c>
      <c r="Q251" s="4">
        <v>1812724.9774751291</v>
      </c>
      <c r="R251" s="4">
        <v>2</v>
      </c>
      <c r="S251" s="4">
        <v>0</v>
      </c>
      <c r="T251">
        <f t="shared" si="9"/>
        <v>98333.697060168488</v>
      </c>
      <c r="U251">
        <f t="shared" si="10"/>
        <v>-98331.697060168488</v>
      </c>
      <c r="V251">
        <v>1669727.8467999999</v>
      </c>
      <c r="W251">
        <v>2</v>
      </c>
      <c r="X251">
        <v>1798535.92651442</v>
      </c>
      <c r="Y251">
        <v>3</v>
      </c>
      <c r="Z251">
        <f t="shared" si="11"/>
        <v>4.2121854795330468E-2</v>
      </c>
    </row>
    <row r="252" spans="1:26" x14ac:dyDescent="0.3">
      <c r="A252">
        <v>20221215</v>
      </c>
      <c r="B252" s="5">
        <v>44910</v>
      </c>
      <c r="C252">
        <v>701805.63767063781</v>
      </c>
      <c r="D252" s="4">
        <v>935953.17140000395</v>
      </c>
      <c r="E252" s="5">
        <v>44910</v>
      </c>
      <c r="F252" s="4">
        <v>20221215</v>
      </c>
      <c r="G252" s="5"/>
      <c r="H252" s="4">
        <v>1381135.7897399981</v>
      </c>
      <c r="I252" s="4">
        <v>966395.58897999802</v>
      </c>
      <c r="J252" s="4">
        <v>612967.06667999807</v>
      </c>
      <c r="K252" s="4">
        <v>961308.60211999994</v>
      </c>
      <c r="L252" s="4">
        <v>1000094.7539599979</v>
      </c>
      <c r="M252" s="4">
        <v>975691.37949999608</v>
      </c>
      <c r="N252" s="4">
        <v>996953.14052000397</v>
      </c>
      <c r="O252" s="4">
        <v>1318157.9942999962</v>
      </c>
      <c r="P252" s="4">
        <v>1591724.1294800001</v>
      </c>
      <c r="Q252" s="4">
        <v>1832174.7714613886</v>
      </c>
      <c r="R252" s="4">
        <v>1</v>
      </c>
      <c r="S252" s="4">
        <v>0</v>
      </c>
      <c r="T252">
        <f t="shared" si="9"/>
        <v>19449.793986259494</v>
      </c>
      <c r="U252">
        <f t="shared" si="10"/>
        <v>-19448.793986259494</v>
      </c>
      <c r="V252">
        <v>1662350.9234</v>
      </c>
      <c r="W252">
        <v>4</v>
      </c>
      <c r="X252">
        <v>1802420.4667378839</v>
      </c>
      <c r="Y252">
        <v>3</v>
      </c>
      <c r="Z252">
        <f t="shared" si="11"/>
        <v>2.1598346556202415E-3</v>
      </c>
    </row>
    <row r="253" spans="1:26" x14ac:dyDescent="0.3">
      <c r="A253">
        <v>20221216</v>
      </c>
      <c r="B253" s="5">
        <v>44911</v>
      </c>
      <c r="C253">
        <v>693803.64978991717</v>
      </c>
      <c r="D253" s="4">
        <v>938451.28340000403</v>
      </c>
      <c r="E253" s="5">
        <v>44911</v>
      </c>
      <c r="F253" s="4">
        <v>20221216</v>
      </c>
      <c r="G253" s="5"/>
      <c r="H253" s="4">
        <v>1374668.0434399978</v>
      </c>
      <c r="I253" s="4">
        <v>957034.51955999807</v>
      </c>
      <c r="J253" s="4">
        <v>605364.05589999794</v>
      </c>
      <c r="K253" s="4">
        <v>949492.75703999994</v>
      </c>
      <c r="L253" s="4">
        <v>991330.08231999795</v>
      </c>
      <c r="M253" s="4">
        <v>967176.60931999609</v>
      </c>
      <c r="N253" s="4">
        <v>997924.84396000393</v>
      </c>
      <c r="O253" s="4">
        <v>1301942.3832399962</v>
      </c>
      <c r="P253" s="4">
        <v>1562242.8049399999</v>
      </c>
      <c r="Q253" s="4">
        <v>1863351.2652285453</v>
      </c>
      <c r="R253" s="4">
        <v>1</v>
      </c>
      <c r="S253" s="4">
        <v>0</v>
      </c>
      <c r="T253">
        <f t="shared" si="9"/>
        <v>31176.493767156731</v>
      </c>
      <c r="U253">
        <f t="shared" si="10"/>
        <v>-31175.493767156731</v>
      </c>
      <c r="V253">
        <v>1690637.6397999998</v>
      </c>
      <c r="W253">
        <v>1</v>
      </c>
      <c r="X253">
        <v>1795967.7459887613</v>
      </c>
      <c r="Y253">
        <v>3</v>
      </c>
      <c r="Z253">
        <f t="shared" si="11"/>
        <v>-3.5800307798329834E-3</v>
      </c>
    </row>
    <row r="254" spans="1:26" x14ac:dyDescent="0.3">
      <c r="A254">
        <v>20221219</v>
      </c>
      <c r="B254" s="5">
        <v>44914</v>
      </c>
      <c r="C254">
        <v>683179.43450068426</v>
      </c>
      <c r="D254" s="4">
        <v>930364.84310000401</v>
      </c>
      <c r="E254" s="5">
        <v>44914</v>
      </c>
      <c r="F254" s="4">
        <v>20221219</v>
      </c>
      <c r="G254" s="5"/>
      <c r="H254" s="4">
        <v>1347519.3660999979</v>
      </c>
      <c r="I254" s="4">
        <v>938160.71743999794</v>
      </c>
      <c r="J254" s="4">
        <v>593435.341239998</v>
      </c>
      <c r="K254" s="4">
        <v>930763.19091999996</v>
      </c>
      <c r="L254" s="4">
        <v>971769.89749999787</v>
      </c>
      <c r="M254" s="4">
        <v>948082.99063999602</v>
      </c>
      <c r="N254" s="4">
        <v>977762.57476000395</v>
      </c>
      <c r="O254" s="4">
        <v>1276221.5029199959</v>
      </c>
      <c r="P254" s="4">
        <v>1531395.77244</v>
      </c>
      <c r="Q254" s="4">
        <v>1766087.9727744348</v>
      </c>
      <c r="R254" s="4">
        <v>1</v>
      </c>
      <c r="S254" s="4">
        <v>0</v>
      </c>
      <c r="T254">
        <f t="shared" si="9"/>
        <v>-97263.292454110458</v>
      </c>
      <c r="U254">
        <f t="shared" si="10"/>
        <v>97264.292454110458</v>
      </c>
      <c r="V254">
        <v>1602389.6176</v>
      </c>
      <c r="W254">
        <v>1</v>
      </c>
      <c r="X254">
        <v>1766836.4438216714</v>
      </c>
      <c r="Y254">
        <v>3</v>
      </c>
      <c r="Z254">
        <f t="shared" si="11"/>
        <v>-1.6220392728184433E-2</v>
      </c>
    </row>
    <row r="255" spans="1:26" x14ac:dyDescent="0.3">
      <c r="A255">
        <v>20221220</v>
      </c>
      <c r="B255" s="5">
        <v>44915</v>
      </c>
      <c r="C255">
        <v>681070.45958638063</v>
      </c>
      <c r="D255" s="4">
        <v>912051.43970000395</v>
      </c>
      <c r="E255" s="5">
        <v>44915</v>
      </c>
      <c r="F255" s="4">
        <v>20221220</v>
      </c>
      <c r="G255" s="5"/>
      <c r="H255" s="4">
        <v>1323333.855539998</v>
      </c>
      <c r="I255" s="4">
        <v>921331.10091999802</v>
      </c>
      <c r="J255" s="4">
        <v>582783.70719999797</v>
      </c>
      <c r="K255" s="4">
        <v>914056.51136000012</v>
      </c>
      <c r="L255" s="4">
        <v>954326.989539998</v>
      </c>
      <c r="M255" s="4">
        <v>931070.75635999604</v>
      </c>
      <c r="N255" s="4">
        <v>960216.81136000401</v>
      </c>
      <c r="O255" s="4">
        <v>1253317.041239996</v>
      </c>
      <c r="P255" s="4">
        <v>1503914.3995999999</v>
      </c>
      <c r="Q255" s="4">
        <v>1766087.9727744348</v>
      </c>
      <c r="R255" s="4">
        <v>0</v>
      </c>
      <c r="S255" s="4">
        <v>0</v>
      </c>
      <c r="T255">
        <f t="shared" si="9"/>
        <v>0</v>
      </c>
      <c r="U255">
        <f t="shared" si="10"/>
        <v>0</v>
      </c>
      <c r="V255">
        <v>1575110.6466000001</v>
      </c>
      <c r="W255">
        <v>1</v>
      </c>
      <c r="X255">
        <v>1732523.698848774</v>
      </c>
      <c r="Y255">
        <v>3</v>
      </c>
      <c r="Z255">
        <f t="shared" si="11"/>
        <v>-1.9420442165364732E-2</v>
      </c>
    </row>
    <row r="256" spans="1:26" x14ac:dyDescent="0.3">
      <c r="A256">
        <v>20221221</v>
      </c>
      <c r="B256" s="5">
        <v>44916</v>
      </c>
      <c r="C256">
        <v>678581.1470565924</v>
      </c>
      <c r="D256" s="4">
        <v>895715.87530000403</v>
      </c>
      <c r="E256" s="5">
        <v>44916</v>
      </c>
      <c r="F256" s="4">
        <v>20221221</v>
      </c>
      <c r="G256" s="5"/>
      <c r="H256" s="4">
        <v>1307321.1414399981</v>
      </c>
      <c r="I256" s="4">
        <v>910233.32065999811</v>
      </c>
      <c r="J256" s="4">
        <v>575760.09127999796</v>
      </c>
      <c r="K256" s="4">
        <v>903040.56268000009</v>
      </c>
      <c r="L256" s="4">
        <v>942848.23207999801</v>
      </c>
      <c r="M256" s="4">
        <v>919885.28609999607</v>
      </c>
      <c r="N256" s="4">
        <v>946365.21720000391</v>
      </c>
      <c r="O256" s="4">
        <v>1238225.332619996</v>
      </c>
      <c r="P256" s="4">
        <v>1485757.8211600001</v>
      </c>
      <c r="Q256" s="4">
        <v>1734379.6455391331</v>
      </c>
      <c r="R256" s="4">
        <v>2</v>
      </c>
      <c r="S256" s="4">
        <v>0</v>
      </c>
      <c r="T256">
        <f t="shared" si="9"/>
        <v>-31708.327235301724</v>
      </c>
      <c r="U256">
        <f t="shared" si="10"/>
        <v>31710.327235301724</v>
      </c>
      <c r="V256">
        <v>1546831.1356000002</v>
      </c>
      <c r="W256">
        <v>2</v>
      </c>
      <c r="X256">
        <v>1701417.9959484783</v>
      </c>
      <c r="Y256">
        <v>2</v>
      </c>
      <c r="Z256">
        <f t="shared" si="11"/>
        <v>-1.7953984075926181E-2</v>
      </c>
    </row>
    <row r="257" spans="1:26" x14ac:dyDescent="0.3">
      <c r="A257">
        <v>20221222</v>
      </c>
      <c r="B257" s="5">
        <v>44917</v>
      </c>
      <c r="C257">
        <v>675870.2153741013</v>
      </c>
      <c r="D257" s="4">
        <v>885196.22940000403</v>
      </c>
      <c r="E257" s="5">
        <v>44917</v>
      </c>
      <c r="F257" s="4">
        <v>20221222</v>
      </c>
      <c r="G257" s="5"/>
      <c r="H257" s="4">
        <v>1336164.2158199982</v>
      </c>
      <c r="I257" s="4">
        <v>952573.74533999804</v>
      </c>
      <c r="J257" s="4">
        <v>616036.36257999798</v>
      </c>
      <c r="K257" s="4">
        <v>958737.56631999998</v>
      </c>
      <c r="L257" s="4">
        <v>977065.29479999805</v>
      </c>
      <c r="M257" s="4">
        <v>953202.24813999608</v>
      </c>
      <c r="N257" s="4">
        <v>980699.68532000412</v>
      </c>
      <c r="O257" s="4">
        <v>1263756.3428999961</v>
      </c>
      <c r="P257" s="4">
        <v>1484124.5163199999</v>
      </c>
      <c r="Q257" s="4">
        <v>1713354.3356687326</v>
      </c>
      <c r="R257" s="4">
        <v>4</v>
      </c>
      <c r="S257" s="4">
        <v>0</v>
      </c>
      <c r="T257">
        <f t="shared" si="9"/>
        <v>-21025.309870400466</v>
      </c>
      <c r="U257">
        <f t="shared" si="10"/>
        <v>21029.309870400466</v>
      </c>
      <c r="V257">
        <v>1528079.8292</v>
      </c>
      <c r="W257">
        <v>4</v>
      </c>
      <c r="X257">
        <v>1679782.7947639544</v>
      </c>
      <c r="Y257">
        <v>3</v>
      </c>
      <c r="Z257">
        <f t="shared" si="11"/>
        <v>-1.2715982337111202E-2</v>
      </c>
    </row>
    <row r="258" spans="1:26" x14ac:dyDescent="0.3">
      <c r="A258">
        <v>20221223</v>
      </c>
      <c r="B258" s="5">
        <v>44918</v>
      </c>
      <c r="C258">
        <v>689228.79018097033</v>
      </c>
      <c r="D258" s="4">
        <v>911029.22180000402</v>
      </c>
      <c r="E258" s="5">
        <v>44918</v>
      </c>
      <c r="F258" s="4">
        <v>20221223</v>
      </c>
      <c r="G258" s="5"/>
      <c r="H258" s="4">
        <v>1327002.191119998</v>
      </c>
      <c r="I258" s="4">
        <v>951238.78513999807</v>
      </c>
      <c r="J258" s="4">
        <v>614043.10951999796</v>
      </c>
      <c r="K258" s="4">
        <v>955623.72106000001</v>
      </c>
      <c r="L258" s="4">
        <v>982500.26885999797</v>
      </c>
      <c r="M258" s="4">
        <v>956316.63321999589</v>
      </c>
      <c r="N258" s="4">
        <v>986574.76822000404</v>
      </c>
      <c r="O258" s="4">
        <v>1265435.254279996</v>
      </c>
      <c r="P258" s="4">
        <v>1495248.20542</v>
      </c>
      <c r="Q258" s="4">
        <v>1712885.8795997901</v>
      </c>
      <c r="R258" s="4">
        <v>2</v>
      </c>
      <c r="S258" s="4">
        <v>0</v>
      </c>
      <c r="T258">
        <f t="shared" si="9"/>
        <v>-468.45606894255616</v>
      </c>
      <c r="U258">
        <f t="shared" si="10"/>
        <v>470.45606894255616</v>
      </c>
      <c r="V258">
        <v>1526393.8018</v>
      </c>
      <c r="W258">
        <v>4</v>
      </c>
      <c r="X258">
        <v>1665513.3412726645</v>
      </c>
      <c r="Y258">
        <v>3</v>
      </c>
      <c r="Z258">
        <f t="shared" si="11"/>
        <v>-8.4948206016689388E-3</v>
      </c>
    </row>
    <row r="259" spans="1:26" x14ac:dyDescent="0.3">
      <c r="A259">
        <v>20221226</v>
      </c>
      <c r="B259" s="5">
        <v>44921</v>
      </c>
      <c r="C259">
        <v>697522.28021321807</v>
      </c>
      <c r="D259" s="4">
        <v>915722.39790000406</v>
      </c>
      <c r="E259" s="5">
        <v>44921</v>
      </c>
      <c r="F259" s="4">
        <v>20221226</v>
      </c>
      <c r="G259" s="5"/>
      <c r="H259" s="4">
        <v>1302756.6678999981</v>
      </c>
      <c r="I259" s="4">
        <v>935538.98859999795</v>
      </c>
      <c r="J259" s="4">
        <v>609692.41615999793</v>
      </c>
      <c r="K259" s="4">
        <v>947968.56822000002</v>
      </c>
      <c r="L259" s="4">
        <v>968617.49093999807</v>
      </c>
      <c r="M259" s="4">
        <v>942857.55877999612</v>
      </c>
      <c r="N259" s="4">
        <v>973201.35644000396</v>
      </c>
      <c r="O259" s="4">
        <v>1251254.7132199961</v>
      </c>
      <c r="P259" s="4">
        <v>1478366.0277799999</v>
      </c>
      <c r="Q259" s="4">
        <v>1719761.3187495533</v>
      </c>
      <c r="R259" s="4">
        <v>2</v>
      </c>
      <c r="S259" s="4">
        <v>0</v>
      </c>
      <c r="T259">
        <f t="shared" si="9"/>
        <v>6875.4391497632023</v>
      </c>
      <c r="U259">
        <f t="shared" si="10"/>
        <v>-6873.4391497632023</v>
      </c>
      <c r="V259">
        <v>1532520.6764</v>
      </c>
      <c r="W259">
        <v>2</v>
      </c>
      <c r="X259">
        <v>1672198.6262511525</v>
      </c>
      <c r="Y259">
        <v>2</v>
      </c>
      <c r="Z259">
        <f t="shared" si="11"/>
        <v>4.0139486204172851E-3</v>
      </c>
    </row>
    <row r="260" spans="1:26" x14ac:dyDescent="0.3">
      <c r="A260">
        <v>20221227</v>
      </c>
      <c r="B260" s="5">
        <v>44922</v>
      </c>
      <c r="C260">
        <v>691231.32676797512</v>
      </c>
      <c r="D260" s="4">
        <v>903143.79030000395</v>
      </c>
      <c r="E260" s="5">
        <v>44922</v>
      </c>
      <c r="F260" s="4">
        <v>20221227</v>
      </c>
      <c r="G260" s="5"/>
      <c r="H260" s="4">
        <v>1324398.3151199981</v>
      </c>
      <c r="I260" s="4">
        <v>948873.29439999792</v>
      </c>
      <c r="J260" s="4">
        <v>609576.95787999802</v>
      </c>
      <c r="K260" s="4">
        <v>957811.5560000001</v>
      </c>
      <c r="L260" s="4">
        <v>975567.38145999797</v>
      </c>
      <c r="M260" s="4">
        <v>949648.09929999593</v>
      </c>
      <c r="N260" s="4">
        <v>976585.94606000406</v>
      </c>
      <c r="O260" s="4">
        <v>1257879.0250599959</v>
      </c>
      <c r="P260" s="4">
        <v>1485864.8888599998</v>
      </c>
      <c r="Q260" s="4">
        <v>1702650.9652833061</v>
      </c>
      <c r="R260" s="4">
        <v>2</v>
      </c>
      <c r="S260" s="4">
        <v>0</v>
      </c>
      <c r="T260">
        <f t="shared" ref="T260:T301" si="12">Q260-Q259</f>
        <v>-17110.353466247208</v>
      </c>
      <c r="U260">
        <f t="shared" ref="U260:U301" si="13">R260-T260</f>
        <v>17112.353466247208</v>
      </c>
      <c r="V260">
        <v>1517273.2323999999</v>
      </c>
      <c r="W260">
        <v>2</v>
      </c>
      <c r="X260">
        <v>1672198.6262511525</v>
      </c>
      <c r="Y260">
        <v>0</v>
      </c>
      <c r="Z260">
        <f t="shared" ref="Z260:Z301" si="14">(X260-X259)/X259</f>
        <v>0</v>
      </c>
    </row>
    <row r="261" spans="1:26" x14ac:dyDescent="0.3">
      <c r="A261">
        <v>20221228</v>
      </c>
      <c r="B261" s="5">
        <v>44923</v>
      </c>
      <c r="C261">
        <v>694509.14571950887</v>
      </c>
      <c r="D261" s="4">
        <v>909494.51480000396</v>
      </c>
      <c r="E261" s="5">
        <v>44923</v>
      </c>
      <c r="F261" s="4">
        <v>20221228</v>
      </c>
      <c r="G261" s="5"/>
      <c r="H261" s="4">
        <v>1315853.2394399981</v>
      </c>
      <c r="I261" s="4">
        <v>940272.59495999792</v>
      </c>
      <c r="J261" s="4">
        <v>604838.70027999801</v>
      </c>
      <c r="K261" s="4">
        <v>946768.47173999995</v>
      </c>
      <c r="L261" s="4">
        <v>963929.64099999797</v>
      </c>
      <c r="M261" s="4">
        <v>938333.97859999596</v>
      </c>
      <c r="N261" s="4">
        <v>964894.16502000391</v>
      </c>
      <c r="O261" s="4">
        <v>1243103.9324599961</v>
      </c>
      <c r="P261" s="4">
        <v>1468445.0035399999</v>
      </c>
      <c r="Q261" s="4">
        <v>1711335.3356048022</v>
      </c>
      <c r="R261" s="4">
        <v>4</v>
      </c>
      <c r="S261" s="4">
        <v>0</v>
      </c>
      <c r="T261">
        <f t="shared" si="12"/>
        <v>8684.370321496157</v>
      </c>
      <c r="U261">
        <f t="shared" si="13"/>
        <v>-8680.370321496157</v>
      </c>
      <c r="V261">
        <v>1488525.3199999998</v>
      </c>
      <c r="W261">
        <v>1</v>
      </c>
      <c r="X261">
        <v>1672198.6262511525</v>
      </c>
      <c r="Y261">
        <v>0</v>
      </c>
      <c r="Z261">
        <f t="shared" si="14"/>
        <v>0</v>
      </c>
    </row>
    <row r="262" spans="1:26" x14ac:dyDescent="0.3">
      <c r="A262">
        <v>20221229</v>
      </c>
      <c r="B262" s="5">
        <v>44924</v>
      </c>
      <c r="C262">
        <v>693725.04489399155</v>
      </c>
      <c r="D262" s="4">
        <v>898820.61070000404</v>
      </c>
      <c r="E262" s="5">
        <v>44924</v>
      </c>
      <c r="F262" s="4">
        <v>20221229</v>
      </c>
      <c r="G262" s="5"/>
      <c r="H262" s="4">
        <v>1350786.0496199981</v>
      </c>
      <c r="I262" s="4">
        <v>978127.17663999798</v>
      </c>
      <c r="J262" s="4">
        <v>620888.26731999801</v>
      </c>
      <c r="K262" s="4">
        <v>975681.31992000004</v>
      </c>
      <c r="L262" s="4">
        <v>995397.56271999795</v>
      </c>
      <c r="M262" s="4">
        <v>968996.367579996</v>
      </c>
      <c r="N262" s="4">
        <v>1000815.7130800041</v>
      </c>
      <c r="O262" s="4">
        <v>1276711.350159996</v>
      </c>
      <c r="P262" s="4">
        <v>1514832.82378</v>
      </c>
      <c r="Q262" s="4">
        <v>1691235.5943534372</v>
      </c>
      <c r="R262" s="4">
        <v>4</v>
      </c>
      <c r="S262" s="4">
        <v>0</v>
      </c>
      <c r="T262">
        <f t="shared" si="12"/>
        <v>-20099.741251365049</v>
      </c>
      <c r="U262">
        <f t="shared" si="13"/>
        <v>20103.741251365049</v>
      </c>
      <c r="V262">
        <v>1471540.7080000001</v>
      </c>
      <c r="W262">
        <v>1</v>
      </c>
      <c r="X262">
        <v>1672198.6262511525</v>
      </c>
      <c r="Y262">
        <v>0</v>
      </c>
      <c r="Z262">
        <f t="shared" si="14"/>
        <v>0</v>
      </c>
    </row>
    <row r="263" spans="1:26" x14ac:dyDescent="0.3">
      <c r="A263">
        <v>20221230</v>
      </c>
      <c r="B263" s="5">
        <v>44925</v>
      </c>
      <c r="C263">
        <v>696568.62385301199</v>
      </c>
      <c r="D263" s="4">
        <v>928002.20290000399</v>
      </c>
      <c r="E263" s="5">
        <v>44925</v>
      </c>
      <c r="F263" s="4">
        <v>20221230</v>
      </c>
      <c r="G263" s="5"/>
      <c r="H263" s="4">
        <v>1370694.8188799978</v>
      </c>
      <c r="I263" s="4">
        <v>978632.69139999803</v>
      </c>
      <c r="J263" s="4">
        <v>630009.29149999795</v>
      </c>
      <c r="K263" s="4">
        <v>981753.34952000005</v>
      </c>
      <c r="L263" s="4">
        <v>987415.28163999808</v>
      </c>
      <c r="M263" s="4">
        <v>972990.16809999605</v>
      </c>
      <c r="N263" s="4">
        <v>1056813.0218800041</v>
      </c>
      <c r="O263" s="4">
        <v>1246030.346159996</v>
      </c>
      <c r="P263" s="4">
        <v>1501502.5711600001</v>
      </c>
      <c r="Q263" s="4">
        <v>1744696.328686974</v>
      </c>
      <c r="R263" s="4">
        <v>4</v>
      </c>
      <c r="S263" s="4">
        <v>0</v>
      </c>
      <c r="T263">
        <f t="shared" si="12"/>
        <v>53460.73433353682</v>
      </c>
      <c r="U263">
        <f t="shared" si="13"/>
        <v>-53456.73433353682</v>
      </c>
      <c r="V263">
        <v>1518056.4272</v>
      </c>
      <c r="W263">
        <v>4</v>
      </c>
      <c r="X263">
        <v>1672198.6262511525</v>
      </c>
      <c r="Y263">
        <v>0</v>
      </c>
      <c r="Z263">
        <f t="shared" si="14"/>
        <v>0</v>
      </c>
    </row>
    <row r="264" spans="1:26" x14ac:dyDescent="0.3">
      <c r="A264">
        <v>20230103</v>
      </c>
      <c r="B264" s="5">
        <v>44929</v>
      </c>
      <c r="C264">
        <v>690260.49839539919</v>
      </c>
      <c r="D264" s="4">
        <v>921869.78210000496</v>
      </c>
      <c r="E264" s="5">
        <v>44929</v>
      </c>
      <c r="F264" s="4">
        <v>20230103</v>
      </c>
      <c r="G264" s="5" t="s">
        <v>11</v>
      </c>
      <c r="H264" s="4">
        <v>1387203.8237199981</v>
      </c>
      <c r="I264" s="4">
        <v>990415.95575999806</v>
      </c>
      <c r="J264" s="4">
        <v>637589.72317999799</v>
      </c>
      <c r="K264" s="4">
        <v>993565.71136000007</v>
      </c>
      <c r="L264" s="4">
        <v>999308.71911999804</v>
      </c>
      <c r="M264" s="4">
        <v>975013.48131999595</v>
      </c>
      <c r="N264" s="4">
        <v>1056813.0218800041</v>
      </c>
      <c r="O264" s="4">
        <v>1261027.8493199958</v>
      </c>
      <c r="P264" s="4">
        <v>1519575.11176</v>
      </c>
      <c r="Q264" s="4">
        <v>1730816.4873956151</v>
      </c>
      <c r="R264" s="4">
        <v>2</v>
      </c>
      <c r="S264" s="4">
        <v>0</v>
      </c>
      <c r="T264">
        <f t="shared" si="12"/>
        <v>-13879.841291358927</v>
      </c>
      <c r="U264">
        <f t="shared" si="13"/>
        <v>13881.841291358927</v>
      </c>
      <c r="V264">
        <v>1504609.8847999999</v>
      </c>
      <c r="W264">
        <v>4</v>
      </c>
      <c r="X264">
        <v>1672198.6262511525</v>
      </c>
      <c r="Y264">
        <v>0</v>
      </c>
      <c r="Z264">
        <f t="shared" si="14"/>
        <v>0</v>
      </c>
    </row>
    <row r="265" spans="1:26" x14ac:dyDescent="0.3">
      <c r="A265">
        <v>20230104</v>
      </c>
      <c r="B265" s="5">
        <v>44930</v>
      </c>
      <c r="C265">
        <v>709266.82121871645</v>
      </c>
      <c r="D265" s="4">
        <v>933063.50970000494</v>
      </c>
      <c r="E265" s="5">
        <v>44930</v>
      </c>
      <c r="F265" s="4">
        <v>20230104</v>
      </c>
      <c r="G265" s="5"/>
      <c r="H265" s="4">
        <v>1373179.8245199979</v>
      </c>
      <c r="I265" s="4">
        <v>965158.19445999805</v>
      </c>
      <c r="J265" s="4">
        <v>627886.63701999804</v>
      </c>
      <c r="K265" s="4">
        <v>983515.02975999995</v>
      </c>
      <c r="L265" s="4">
        <v>983074.71007999801</v>
      </c>
      <c r="M265" s="4">
        <v>960003.99147999601</v>
      </c>
      <c r="N265" s="4">
        <v>1059741.6717400041</v>
      </c>
      <c r="O265" s="4">
        <v>1245147.806899996</v>
      </c>
      <c r="P265" s="4">
        <v>1484948.28406</v>
      </c>
      <c r="Q265" s="4">
        <v>1734413.6012164601</v>
      </c>
      <c r="R265" s="4">
        <v>2</v>
      </c>
      <c r="S265" s="4">
        <v>0</v>
      </c>
      <c r="T265">
        <f t="shared" si="12"/>
        <v>3597.1138208450284</v>
      </c>
      <c r="U265">
        <f t="shared" si="13"/>
        <v>-3595.1138208450284</v>
      </c>
      <c r="V265">
        <v>1507736.9109999998</v>
      </c>
      <c r="W265">
        <v>2</v>
      </c>
      <c r="X265">
        <v>1672198.6262511525</v>
      </c>
      <c r="Y265">
        <v>0</v>
      </c>
      <c r="Z265">
        <f t="shared" si="14"/>
        <v>0</v>
      </c>
    </row>
    <row r="266" spans="1:26" x14ac:dyDescent="0.3">
      <c r="A266">
        <v>20230105</v>
      </c>
      <c r="B266" s="5">
        <v>44931</v>
      </c>
      <c r="C266">
        <v>715960.17221055739</v>
      </c>
      <c r="D266" s="4">
        <v>918401.95910000498</v>
      </c>
      <c r="E266" s="5">
        <v>44931</v>
      </c>
      <c r="F266" s="4">
        <v>20230105</v>
      </c>
      <c r="G266" s="5"/>
      <c r="H266" s="4">
        <v>1398262.8250999979</v>
      </c>
      <c r="I266" s="4">
        <v>1009013.828899998</v>
      </c>
      <c r="J266" s="4">
        <v>641552.266279998</v>
      </c>
      <c r="K266" s="4">
        <v>989304.95686000003</v>
      </c>
      <c r="L266" s="4">
        <v>1004991.7177599979</v>
      </c>
      <c r="M266" s="4">
        <v>972629.31537999609</v>
      </c>
      <c r="N266" s="4">
        <v>1157507.7608600021</v>
      </c>
      <c r="O266" s="4">
        <v>1262809.591139996</v>
      </c>
      <c r="P266" s="4">
        <v>1546274.7912599999</v>
      </c>
      <c r="Q266" s="4">
        <v>1667357.1885117665</v>
      </c>
      <c r="R266" s="4">
        <v>1</v>
      </c>
      <c r="S266" s="4">
        <v>0</v>
      </c>
      <c r="T266">
        <f t="shared" si="12"/>
        <v>-67056.412704693619</v>
      </c>
      <c r="U266">
        <f t="shared" si="13"/>
        <v>67057.412704693619</v>
      </c>
      <c r="V266">
        <v>1465353.9342</v>
      </c>
      <c r="W266">
        <v>2</v>
      </c>
      <c r="X266">
        <v>1672198.6262511525</v>
      </c>
      <c r="Y266">
        <v>0</v>
      </c>
      <c r="Z266">
        <f t="shared" si="14"/>
        <v>0</v>
      </c>
    </row>
    <row r="267" spans="1:26" x14ac:dyDescent="0.3">
      <c r="A267">
        <v>20230106</v>
      </c>
      <c r="B267" s="5">
        <v>44932</v>
      </c>
      <c r="C267">
        <v>721335.60118351434</v>
      </c>
      <c r="D267" s="4">
        <v>936820.03410000401</v>
      </c>
      <c r="E267" s="5">
        <v>44932</v>
      </c>
      <c r="F267" s="4">
        <v>20230106</v>
      </c>
      <c r="G267" s="5"/>
      <c r="H267" s="4">
        <v>1422443.459099998</v>
      </c>
      <c r="I267" s="4">
        <v>1026466.0448599979</v>
      </c>
      <c r="J267" s="4">
        <v>652910.15371999796</v>
      </c>
      <c r="K267" s="4">
        <v>993000.15441999992</v>
      </c>
      <c r="L267" s="4">
        <v>1013625.109619998</v>
      </c>
      <c r="M267" s="4">
        <v>964067.28693999595</v>
      </c>
      <c r="N267" s="4">
        <v>1157507.7608600021</v>
      </c>
      <c r="O267" s="4">
        <v>1268824.297019996</v>
      </c>
      <c r="P267" s="4">
        <v>1573649.1089400002</v>
      </c>
      <c r="Q267" s="4">
        <v>1667357.1885117665</v>
      </c>
      <c r="R267" s="4">
        <v>0</v>
      </c>
      <c r="S267" s="4">
        <v>0</v>
      </c>
      <c r="T267">
        <f t="shared" si="12"/>
        <v>0</v>
      </c>
      <c r="U267">
        <f t="shared" si="13"/>
        <v>0</v>
      </c>
      <c r="V267">
        <v>1508284.3794</v>
      </c>
      <c r="W267">
        <v>1</v>
      </c>
      <c r="X267">
        <v>1721189.0144209736</v>
      </c>
      <c r="Y267">
        <v>1</v>
      </c>
      <c r="Z267">
        <f t="shared" si="14"/>
        <v>2.9296991039665588E-2</v>
      </c>
    </row>
    <row r="268" spans="1:26" x14ac:dyDescent="0.3">
      <c r="A268">
        <v>20230109</v>
      </c>
      <c r="B268" s="5">
        <v>44935</v>
      </c>
      <c r="C268">
        <v>731266.94974060892</v>
      </c>
      <c r="D268" s="4">
        <v>944826.75100000401</v>
      </c>
      <c r="E268" s="5">
        <v>44935</v>
      </c>
      <c r="F268" s="4">
        <v>20230109</v>
      </c>
      <c r="G268" s="5"/>
      <c r="H268" s="4">
        <v>1382603.4530599979</v>
      </c>
      <c r="I268" s="4">
        <v>997739.73275999795</v>
      </c>
      <c r="J268" s="4">
        <v>634639.45863999799</v>
      </c>
      <c r="K268" s="4">
        <v>965214.69802000001</v>
      </c>
      <c r="L268" s="4">
        <v>985269.48685999797</v>
      </c>
      <c r="M268" s="4">
        <v>929131.43765999598</v>
      </c>
      <c r="N268" s="4">
        <v>1146861.7169600041</v>
      </c>
      <c r="O268" s="4">
        <v>1233314.0909999958</v>
      </c>
      <c r="P268" s="4">
        <v>1529564.9778799999</v>
      </c>
      <c r="Q268" s="4">
        <v>1667357.1885117665</v>
      </c>
      <c r="R268" s="4">
        <v>0</v>
      </c>
      <c r="S268" s="4">
        <v>0</v>
      </c>
      <c r="T268">
        <f t="shared" si="12"/>
        <v>0</v>
      </c>
      <c r="U268">
        <f t="shared" si="13"/>
        <v>0</v>
      </c>
      <c r="V268">
        <v>1561642.5458</v>
      </c>
      <c r="W268">
        <v>1</v>
      </c>
      <c r="X268">
        <v>1782079.1687263569</v>
      </c>
      <c r="Y268">
        <v>1</v>
      </c>
      <c r="Z268">
        <f t="shared" si="14"/>
        <v>3.537679696722177E-2</v>
      </c>
    </row>
    <row r="269" spans="1:26" x14ac:dyDescent="0.3">
      <c r="A269">
        <v>20230110</v>
      </c>
      <c r="B269" s="5">
        <v>44936</v>
      </c>
      <c r="C269">
        <v>722969.26366190217</v>
      </c>
      <c r="D269" s="4">
        <v>918473.56950000406</v>
      </c>
      <c r="E269" s="5">
        <v>44936</v>
      </c>
      <c r="F269" s="4">
        <v>20230110</v>
      </c>
      <c r="G269" s="5"/>
      <c r="H269" s="4">
        <v>1384169.9513199979</v>
      </c>
      <c r="I269" s="4">
        <v>1016121.9053799979</v>
      </c>
      <c r="J269" s="4">
        <v>633337.62479999801</v>
      </c>
      <c r="K269" s="4">
        <v>972753.48044000007</v>
      </c>
      <c r="L269" s="4">
        <v>992312.23141999799</v>
      </c>
      <c r="M269" s="4">
        <v>936543.681959996</v>
      </c>
      <c r="N269" s="4">
        <v>1139499.7368800039</v>
      </c>
      <c r="O269" s="4">
        <v>1232615.853859996</v>
      </c>
      <c r="P269" s="4">
        <v>1554727.6401</v>
      </c>
      <c r="Q269" s="4">
        <v>1606891.7851758932</v>
      </c>
      <c r="R269" s="4">
        <v>3</v>
      </c>
      <c r="S269" s="4">
        <v>0</v>
      </c>
      <c r="T269">
        <f t="shared" si="12"/>
        <v>-60465.40333587327</v>
      </c>
      <c r="U269">
        <f t="shared" si="13"/>
        <v>60468.40333587327</v>
      </c>
      <c r="V269">
        <v>1517827.8924</v>
      </c>
      <c r="W269">
        <v>4</v>
      </c>
      <c r="X269">
        <v>1765683.2284545368</v>
      </c>
      <c r="Y269">
        <v>1</v>
      </c>
      <c r="Z269">
        <f t="shared" si="14"/>
        <v>-9.2004556023951908E-3</v>
      </c>
    </row>
    <row r="270" spans="1:26" x14ac:dyDescent="0.3">
      <c r="A270">
        <v>20230111</v>
      </c>
      <c r="B270" s="5">
        <v>44937</v>
      </c>
      <c r="C270">
        <v>726659.29878363258</v>
      </c>
      <c r="D270" s="4">
        <v>926285.96480000496</v>
      </c>
      <c r="E270" s="5">
        <v>44937</v>
      </c>
      <c r="F270" s="4">
        <v>20230111</v>
      </c>
      <c r="G270" s="5"/>
      <c r="H270" s="4">
        <v>1389607.1666999999</v>
      </c>
      <c r="I270" s="4">
        <v>1025735.684219998</v>
      </c>
      <c r="J270" s="4">
        <v>637026.138359998</v>
      </c>
      <c r="K270" s="4">
        <v>981703.05154000001</v>
      </c>
      <c r="L270" s="4">
        <v>1001160.2271799979</v>
      </c>
      <c r="M270" s="4">
        <v>942314.93745999597</v>
      </c>
      <c r="N270" s="4">
        <v>1157521.456860004</v>
      </c>
      <c r="O270" s="4">
        <v>1237784.241159996</v>
      </c>
      <c r="P270" s="4">
        <v>1546576.33198</v>
      </c>
      <c r="Q270" s="4">
        <v>1633340.330523114</v>
      </c>
      <c r="R270" s="4">
        <v>4</v>
      </c>
      <c r="S270" s="4">
        <v>0</v>
      </c>
      <c r="T270">
        <f t="shared" si="12"/>
        <v>26448.54534722073</v>
      </c>
      <c r="U270">
        <f t="shared" si="13"/>
        <v>-26444.54534722073</v>
      </c>
      <c r="V270">
        <v>1569481.3692000001</v>
      </c>
      <c r="W270">
        <v>2</v>
      </c>
      <c r="X270">
        <v>1898844.2819361368</v>
      </c>
      <c r="Y270">
        <v>1</v>
      </c>
      <c r="Z270">
        <f t="shared" si="14"/>
        <v>7.5416162613807528E-2</v>
      </c>
    </row>
    <row r="271" spans="1:26" x14ac:dyDescent="0.3">
      <c r="A271">
        <v>20230112</v>
      </c>
      <c r="B271" s="5">
        <v>44938</v>
      </c>
      <c r="C271">
        <v>736884.12177681713</v>
      </c>
      <c r="D271" s="4">
        <v>933705.40070000396</v>
      </c>
      <c r="E271" s="5">
        <v>44938</v>
      </c>
      <c r="F271" s="4">
        <v>20230112</v>
      </c>
      <c r="G271" s="5"/>
      <c r="H271" s="4">
        <v>1383335.15674</v>
      </c>
      <c r="I271" s="4">
        <v>1027742.998759998</v>
      </c>
      <c r="J271" s="4">
        <v>632145.05527999799</v>
      </c>
      <c r="K271" s="4">
        <v>972710.71019999997</v>
      </c>
      <c r="L271" s="4">
        <v>999640.91351999808</v>
      </c>
      <c r="M271" s="4">
        <v>945473.74673999602</v>
      </c>
      <c r="N271" s="4">
        <v>1160510.7486200039</v>
      </c>
      <c r="O271" s="4">
        <v>1233579.7724199961</v>
      </c>
      <c r="P271" s="4">
        <v>1555694.0482999999</v>
      </c>
      <c r="Q271" s="4">
        <v>1624746.4907619057</v>
      </c>
      <c r="R271" s="4">
        <v>4</v>
      </c>
      <c r="S271" s="4">
        <v>0</v>
      </c>
      <c r="T271">
        <f t="shared" si="12"/>
        <v>-8593.8397612082772</v>
      </c>
      <c r="U271">
        <f t="shared" si="13"/>
        <v>8597.8397612082772</v>
      </c>
      <c r="V271">
        <v>1541044.4395999999</v>
      </c>
      <c r="W271">
        <v>2</v>
      </c>
      <c r="X271">
        <v>1852069.9589273923</v>
      </c>
      <c r="Y271">
        <v>1</v>
      </c>
      <c r="Z271">
        <f t="shared" si="14"/>
        <v>-2.463304835141698E-2</v>
      </c>
    </row>
    <row r="272" spans="1:26" x14ac:dyDescent="0.3">
      <c r="A272">
        <v>20230113</v>
      </c>
      <c r="B272" s="5">
        <v>44939</v>
      </c>
      <c r="C272">
        <v>750585.74513713515</v>
      </c>
      <c r="D272" s="4">
        <v>932238.458200005</v>
      </c>
      <c r="E272" s="5">
        <v>44939</v>
      </c>
      <c r="F272" s="4">
        <v>20230113</v>
      </c>
      <c r="G272" s="5"/>
      <c r="H272" s="4">
        <v>1369560.1422799979</v>
      </c>
      <c r="I272" s="4">
        <v>1011818.825599998</v>
      </c>
      <c r="J272" s="4">
        <v>627842.24859999795</v>
      </c>
      <c r="K272" s="4">
        <v>971507.52415999991</v>
      </c>
      <c r="L272" s="4">
        <v>997120.03263999801</v>
      </c>
      <c r="M272" s="4">
        <v>946288.30955999601</v>
      </c>
      <c r="N272" s="4">
        <v>1159078.1261600039</v>
      </c>
      <c r="O272" s="4">
        <v>1225208.478779996</v>
      </c>
      <c r="P272" s="4">
        <v>1550873.24578</v>
      </c>
      <c r="Q272" s="4">
        <v>1648469.7341676739</v>
      </c>
      <c r="R272" s="4">
        <v>1</v>
      </c>
      <c r="S272" s="4">
        <v>0</v>
      </c>
      <c r="T272">
        <f t="shared" si="12"/>
        <v>23723.243405768182</v>
      </c>
      <c r="U272">
        <f t="shared" si="13"/>
        <v>-23722.243405768182</v>
      </c>
      <c r="V272">
        <v>1541044.4395999999</v>
      </c>
      <c r="W272">
        <v>0</v>
      </c>
      <c r="X272">
        <v>1879112.4660660152</v>
      </c>
      <c r="Y272">
        <v>1</v>
      </c>
      <c r="Z272">
        <f t="shared" si="14"/>
        <v>1.460123415331693E-2</v>
      </c>
    </row>
    <row r="273" spans="1:26" x14ac:dyDescent="0.3">
      <c r="A273">
        <v>20230116</v>
      </c>
      <c r="B273" s="5">
        <v>44942</v>
      </c>
      <c r="C273">
        <v>752357.12749565882</v>
      </c>
      <c r="D273" s="4">
        <v>929951.16380000499</v>
      </c>
      <c r="E273" s="5">
        <v>44942</v>
      </c>
      <c r="F273" s="4">
        <v>20230116</v>
      </c>
      <c r="G273" s="5"/>
      <c r="H273" s="4">
        <v>1349124.5920999979</v>
      </c>
      <c r="I273" s="4">
        <v>981485.558659998</v>
      </c>
      <c r="J273" s="4">
        <v>626803.52259999805</v>
      </c>
      <c r="K273" s="4">
        <v>943857.07686000003</v>
      </c>
      <c r="L273" s="4">
        <v>987750.94905999606</v>
      </c>
      <c r="M273" s="4">
        <v>937371.67713999597</v>
      </c>
      <c r="N273" s="4">
        <v>1136977.3079600041</v>
      </c>
      <c r="O273" s="4">
        <v>1223005.034239996</v>
      </c>
      <c r="P273" s="4">
        <v>1546934.57672</v>
      </c>
      <c r="Q273" s="4">
        <v>1666983.4244855905</v>
      </c>
      <c r="R273" s="4">
        <v>1</v>
      </c>
      <c r="S273" s="4">
        <v>0</v>
      </c>
      <c r="T273">
        <f t="shared" si="12"/>
        <v>18513.690317916684</v>
      </c>
      <c r="U273">
        <f t="shared" si="13"/>
        <v>-18512.690317916684</v>
      </c>
      <c r="V273">
        <v>1541044.4395999999</v>
      </c>
      <c r="W273">
        <v>0</v>
      </c>
      <c r="X273">
        <v>1900216.4734978986</v>
      </c>
      <c r="Y273">
        <v>1</v>
      </c>
      <c r="Z273">
        <f t="shared" si="14"/>
        <v>1.1230837862549713E-2</v>
      </c>
    </row>
    <row r="274" spans="1:26" x14ac:dyDescent="0.3">
      <c r="A274">
        <v>20230117</v>
      </c>
      <c r="B274" s="5">
        <v>44943</v>
      </c>
      <c r="C274">
        <v>751855.30529161915</v>
      </c>
      <c r="D274" s="4">
        <v>921739.27630000503</v>
      </c>
      <c r="E274" s="5">
        <v>44943</v>
      </c>
      <c r="F274" s="4">
        <v>20230117</v>
      </c>
      <c r="G274" s="5"/>
      <c r="H274" s="4">
        <v>1355664.190879998</v>
      </c>
      <c r="I274" s="4">
        <v>990084.49145999795</v>
      </c>
      <c r="J274" s="4">
        <v>626891.92981999798</v>
      </c>
      <c r="K274" s="4">
        <v>947408.93653999991</v>
      </c>
      <c r="L274" s="4">
        <v>992760.49137999606</v>
      </c>
      <c r="M274" s="4">
        <v>941773.91231999604</v>
      </c>
      <c r="N274" s="4">
        <v>1150319.0681800039</v>
      </c>
      <c r="O274" s="4">
        <v>1224873.6865599961</v>
      </c>
      <c r="P274" s="4">
        <v>1547427.9289000002</v>
      </c>
      <c r="Q274" s="4">
        <v>1635174.9691510373</v>
      </c>
      <c r="R274" s="4">
        <v>1</v>
      </c>
      <c r="S274" s="4">
        <v>0</v>
      </c>
      <c r="T274">
        <f t="shared" si="12"/>
        <v>-31808.455334553262</v>
      </c>
      <c r="U274">
        <f t="shared" si="13"/>
        <v>31809.455334553262</v>
      </c>
      <c r="V274">
        <v>1537141.0167999999</v>
      </c>
      <c r="W274">
        <v>4</v>
      </c>
      <c r="X274">
        <v>1863957.8921964315</v>
      </c>
      <c r="Y274">
        <v>1</v>
      </c>
      <c r="Z274">
        <f t="shared" si="14"/>
        <v>-1.9081289846268206E-2</v>
      </c>
    </row>
    <row r="275" spans="1:26" x14ac:dyDescent="0.3">
      <c r="A275">
        <v>20230118</v>
      </c>
      <c r="B275" s="5">
        <v>44944</v>
      </c>
      <c r="C275">
        <v>759982.8611418216</v>
      </c>
      <c r="D275" s="4">
        <v>926608.91080000496</v>
      </c>
      <c r="E275" s="5">
        <v>44944</v>
      </c>
      <c r="F275" s="4">
        <v>20230118</v>
      </c>
      <c r="G275" s="5"/>
      <c r="H275" s="4">
        <v>1359426.859199998</v>
      </c>
      <c r="I275" s="4">
        <v>983549.76659999811</v>
      </c>
      <c r="J275" s="4">
        <v>623098.96897999803</v>
      </c>
      <c r="K275" s="4">
        <v>947337.53281999996</v>
      </c>
      <c r="L275" s="4">
        <v>989789.62307999807</v>
      </c>
      <c r="M275" s="4">
        <v>942990.15539999609</v>
      </c>
      <c r="N275" s="4">
        <v>1150319.0681800039</v>
      </c>
      <c r="O275" s="4">
        <v>1208237.346159996</v>
      </c>
      <c r="P275" s="4">
        <v>1547626.8886800001</v>
      </c>
      <c r="Q275" s="4">
        <v>1635174.9691510373</v>
      </c>
      <c r="R275" s="4">
        <v>0</v>
      </c>
      <c r="S275" s="4">
        <v>0</v>
      </c>
      <c r="T275">
        <f t="shared" si="12"/>
        <v>0</v>
      </c>
      <c r="U275">
        <f t="shared" si="13"/>
        <v>0</v>
      </c>
      <c r="V275">
        <v>1537649.9808</v>
      </c>
      <c r="W275">
        <v>4</v>
      </c>
      <c r="X275">
        <v>1877942.441082902</v>
      </c>
      <c r="Y275">
        <v>1</v>
      </c>
      <c r="Z275">
        <f t="shared" si="14"/>
        <v>7.502609873869805E-3</v>
      </c>
    </row>
    <row r="276" spans="1:26" x14ac:dyDescent="0.3">
      <c r="A276">
        <v>20230119</v>
      </c>
      <c r="B276" s="5">
        <v>44945</v>
      </c>
      <c r="C276">
        <v>764263.84459863347</v>
      </c>
      <c r="D276" s="4">
        <v>922761.67370000505</v>
      </c>
      <c r="E276" s="5">
        <v>44945</v>
      </c>
      <c r="F276" s="4">
        <v>20230119</v>
      </c>
      <c r="G276" s="5"/>
      <c r="H276" s="4">
        <v>1370080.2589599979</v>
      </c>
      <c r="I276" s="4">
        <v>998178.68503999803</v>
      </c>
      <c r="J276" s="4">
        <v>631921.929179998</v>
      </c>
      <c r="K276" s="4">
        <v>948519.24089999998</v>
      </c>
      <c r="L276" s="4">
        <v>1003227.517139998</v>
      </c>
      <c r="M276" s="4">
        <v>955258.60643999593</v>
      </c>
      <c r="N276" s="4">
        <v>1167951.7432400039</v>
      </c>
      <c r="O276" s="4">
        <v>1226485.949699996</v>
      </c>
      <c r="P276" s="4">
        <v>1589271.19444</v>
      </c>
      <c r="Q276" s="4">
        <v>1635362.5509366444</v>
      </c>
      <c r="R276" s="4">
        <v>4</v>
      </c>
      <c r="S276" s="4">
        <v>0</v>
      </c>
      <c r="T276">
        <f t="shared" si="12"/>
        <v>187.58178560715169</v>
      </c>
      <c r="U276">
        <f t="shared" si="13"/>
        <v>-183.58178560715169</v>
      </c>
      <c r="V276">
        <v>1537826.6394</v>
      </c>
      <c r="W276">
        <v>4</v>
      </c>
      <c r="X276">
        <v>1869870.5449685715</v>
      </c>
      <c r="Y276">
        <v>1</v>
      </c>
      <c r="Z276">
        <f t="shared" si="14"/>
        <v>-4.2982659839541758E-3</v>
      </c>
    </row>
    <row r="277" spans="1:26" x14ac:dyDescent="0.3">
      <c r="A277">
        <v>20230120</v>
      </c>
      <c r="B277" s="5">
        <v>44946</v>
      </c>
      <c r="C277">
        <v>772504.13737109595</v>
      </c>
      <c r="D277" s="4">
        <v>931432.74960000499</v>
      </c>
      <c r="E277" s="5">
        <v>44946</v>
      </c>
      <c r="F277" s="4">
        <v>20230120</v>
      </c>
      <c r="G277" s="5"/>
      <c r="H277" s="4">
        <v>1360680.2731199979</v>
      </c>
      <c r="I277" s="4">
        <v>995600.34875999799</v>
      </c>
      <c r="J277" s="4">
        <v>620165.80473999796</v>
      </c>
      <c r="K277" s="4">
        <v>941440.36119999993</v>
      </c>
      <c r="L277" s="4">
        <v>995295.7931399981</v>
      </c>
      <c r="M277" s="4">
        <v>950157.09375999612</v>
      </c>
      <c r="N277" s="4">
        <v>1161197.320120004</v>
      </c>
      <c r="O277" s="4">
        <v>1230564.2583799961</v>
      </c>
      <c r="P277" s="4">
        <v>1606289.2471</v>
      </c>
      <c r="Q277" s="4">
        <v>1646904.1208935026</v>
      </c>
      <c r="R277" s="4">
        <v>4</v>
      </c>
      <c r="S277" s="4">
        <v>0</v>
      </c>
      <c r="T277">
        <f t="shared" si="12"/>
        <v>11541.569956858177</v>
      </c>
      <c r="U277">
        <f t="shared" si="13"/>
        <v>-11537.569956858177</v>
      </c>
      <c r="V277">
        <v>1587852.952</v>
      </c>
      <c r="W277">
        <v>2</v>
      </c>
      <c r="X277">
        <v>1938340.3505964226</v>
      </c>
      <c r="Y277">
        <v>1</v>
      </c>
      <c r="Z277">
        <f t="shared" si="14"/>
        <v>3.6617404243351977E-2</v>
      </c>
    </row>
    <row r="278" spans="1:26" x14ac:dyDescent="0.3">
      <c r="A278">
        <v>20230130</v>
      </c>
      <c r="B278" s="5">
        <v>44956</v>
      </c>
      <c r="C278">
        <v>762725.78000025253</v>
      </c>
      <c r="D278" s="4">
        <v>924914.273100005</v>
      </c>
      <c r="E278" s="5">
        <v>44956</v>
      </c>
      <c r="F278" s="4">
        <v>20230130</v>
      </c>
      <c r="G278" s="5"/>
      <c r="H278" s="4">
        <v>1365977.580739998</v>
      </c>
      <c r="I278" s="4">
        <v>999733.64571999793</v>
      </c>
      <c r="J278" s="4">
        <v>623562.00437999796</v>
      </c>
      <c r="K278" s="4">
        <v>960963.46124000009</v>
      </c>
      <c r="L278" s="4">
        <v>1003191.582859996</v>
      </c>
      <c r="M278" s="4">
        <v>959910.94021999591</v>
      </c>
      <c r="N278" s="4">
        <v>1152366.6900600041</v>
      </c>
      <c r="O278" s="4">
        <v>1233710.0774999959</v>
      </c>
      <c r="P278" s="4">
        <v>1625107.53152</v>
      </c>
      <c r="Q278" s="4">
        <v>1669908.6346824553</v>
      </c>
      <c r="R278" s="4">
        <v>2</v>
      </c>
      <c r="S278" s="4">
        <v>0</v>
      </c>
      <c r="T278">
        <f t="shared" si="12"/>
        <v>23004.513788952725</v>
      </c>
      <c r="U278">
        <f t="shared" si="13"/>
        <v>-23002.513788952725</v>
      </c>
      <c r="V278">
        <v>1587852.952</v>
      </c>
      <c r="W278">
        <v>0</v>
      </c>
      <c r="X278">
        <v>1952244.7436181412</v>
      </c>
      <c r="Y278">
        <v>1</v>
      </c>
      <c r="Z278">
        <f t="shared" si="14"/>
        <v>7.1733496222375244E-3</v>
      </c>
    </row>
    <row r="279" spans="1:26" x14ac:dyDescent="0.3">
      <c r="A279">
        <v>20230131</v>
      </c>
      <c r="B279" s="5">
        <v>44957</v>
      </c>
      <c r="C279">
        <v>772421.55011561583</v>
      </c>
      <c r="D279" s="4">
        <v>933283.27790000499</v>
      </c>
      <c r="E279" s="5">
        <v>44957</v>
      </c>
      <c r="F279" s="4">
        <v>20230131</v>
      </c>
      <c r="G279" s="5"/>
      <c r="H279" s="4">
        <v>1372604.833239998</v>
      </c>
      <c r="I279" s="4">
        <v>1017370.518359998</v>
      </c>
      <c r="J279" s="4">
        <v>620936.63281999796</v>
      </c>
      <c r="K279" s="4">
        <v>953234.01747999992</v>
      </c>
      <c r="L279" s="4">
        <v>1012383.2064399959</v>
      </c>
      <c r="M279" s="4">
        <v>968670.02887999604</v>
      </c>
      <c r="N279" s="4">
        <v>1161604.2655000021</v>
      </c>
      <c r="O279" s="4">
        <v>1245923.327079996</v>
      </c>
      <c r="P279" s="4">
        <v>1652634.5869400001</v>
      </c>
      <c r="Q279" s="4">
        <v>1724253.4319764625</v>
      </c>
      <c r="R279" s="4">
        <v>1</v>
      </c>
      <c r="S279" s="4">
        <v>0</v>
      </c>
      <c r="T279">
        <f t="shared" si="12"/>
        <v>54344.797294007149</v>
      </c>
      <c r="U279">
        <f t="shared" si="13"/>
        <v>-54343.797294007149</v>
      </c>
      <c r="V279">
        <v>1606466.1442</v>
      </c>
      <c r="W279">
        <v>4</v>
      </c>
      <c r="X279">
        <v>2015777.7006137157</v>
      </c>
      <c r="Y279">
        <v>1</v>
      </c>
      <c r="Z279">
        <f t="shared" si="14"/>
        <v>3.2543541071508995E-2</v>
      </c>
    </row>
    <row r="280" spans="1:26" x14ac:dyDescent="0.3">
      <c r="A280">
        <v>20230201</v>
      </c>
      <c r="B280" s="5">
        <v>44958</v>
      </c>
      <c r="C280">
        <v>769048.38520626083</v>
      </c>
      <c r="D280" s="4">
        <v>940955.84880000504</v>
      </c>
      <c r="E280" s="5">
        <v>44958</v>
      </c>
      <c r="F280" s="4">
        <v>20230201</v>
      </c>
      <c r="G280" s="5"/>
      <c r="H280" s="4">
        <v>1382553.1810199979</v>
      </c>
      <c r="I280" s="4">
        <v>1033087.804199998</v>
      </c>
      <c r="J280" s="4">
        <v>611318.94529999804</v>
      </c>
      <c r="K280" s="4">
        <v>950610.27983999997</v>
      </c>
      <c r="L280" s="4">
        <v>1000701.894239996</v>
      </c>
      <c r="M280" s="4">
        <v>957514.04461999587</v>
      </c>
      <c r="N280" s="4">
        <v>1152764.629360002</v>
      </c>
      <c r="O280" s="4">
        <v>1239449.182199996</v>
      </c>
      <c r="P280" s="4">
        <v>1624599.9406999999</v>
      </c>
      <c r="Q280" s="4">
        <v>1798175.3192097011</v>
      </c>
      <c r="R280" s="4">
        <v>1</v>
      </c>
      <c r="S280" s="4">
        <v>0</v>
      </c>
      <c r="T280">
        <f t="shared" si="12"/>
        <v>73921.887233238667</v>
      </c>
      <c r="U280">
        <f t="shared" si="13"/>
        <v>-73920.887233238667</v>
      </c>
      <c r="V280">
        <v>1633704.4882</v>
      </c>
      <c r="W280">
        <v>4</v>
      </c>
      <c r="X280">
        <v>2102197.8833685154</v>
      </c>
      <c r="Y280">
        <v>1</v>
      </c>
      <c r="Z280">
        <f t="shared" si="14"/>
        <v>4.2871881521701814E-2</v>
      </c>
    </row>
    <row r="281" spans="1:26" x14ac:dyDescent="0.3">
      <c r="A281">
        <v>20230202</v>
      </c>
      <c r="B281" s="5">
        <v>44959</v>
      </c>
      <c r="C281">
        <v>762473.79056113248</v>
      </c>
      <c r="D281" s="4">
        <v>934941.35560000595</v>
      </c>
      <c r="E281" s="5">
        <v>44959</v>
      </c>
      <c r="F281" s="4">
        <v>20230202</v>
      </c>
      <c r="G281" s="5"/>
      <c r="H281" s="4">
        <v>1370180.1390799999</v>
      </c>
      <c r="I281" s="4">
        <v>1041037.021379998</v>
      </c>
      <c r="J281" s="4">
        <v>618590.39885999798</v>
      </c>
      <c r="K281" s="4">
        <v>950749.61098</v>
      </c>
      <c r="L281" s="4">
        <v>1000311.979199996</v>
      </c>
      <c r="M281" s="4">
        <v>957118.04873999604</v>
      </c>
      <c r="N281" s="4">
        <v>1145780.0945400021</v>
      </c>
      <c r="O281" s="4">
        <v>1228144.597439996</v>
      </c>
      <c r="P281" s="4">
        <v>1628240.0865199999</v>
      </c>
      <c r="Q281" s="4">
        <v>1763245.2727106188</v>
      </c>
      <c r="R281" s="4">
        <v>1</v>
      </c>
      <c r="S281" s="4">
        <v>0</v>
      </c>
      <c r="T281">
        <f t="shared" si="12"/>
        <v>-34930.046499082353</v>
      </c>
      <c r="U281">
        <f t="shared" si="13"/>
        <v>34931.046499082353</v>
      </c>
      <c r="V281">
        <v>1605968.1039999998</v>
      </c>
      <c r="W281">
        <v>4</v>
      </c>
      <c r="X281">
        <v>2061362.0476470948</v>
      </c>
      <c r="Y281">
        <v>1</v>
      </c>
      <c r="Z281">
        <f t="shared" si="14"/>
        <v>-1.9425305317112274E-2</v>
      </c>
    </row>
    <row r="282" spans="1:26" x14ac:dyDescent="0.3">
      <c r="A282">
        <v>20230203</v>
      </c>
      <c r="B282" s="5">
        <v>44960</v>
      </c>
      <c r="C282">
        <v>751816.69439045968</v>
      </c>
      <c r="D282" s="4">
        <v>934512.066000005</v>
      </c>
      <c r="E282" s="5">
        <v>44960</v>
      </c>
      <c r="F282" s="4">
        <v>20230203</v>
      </c>
      <c r="G282" s="5"/>
      <c r="H282" s="4">
        <v>1389888.6889399979</v>
      </c>
      <c r="I282" s="4">
        <v>1035307.430959998</v>
      </c>
      <c r="J282" s="4">
        <v>622175.25509999809</v>
      </c>
      <c r="K282" s="4">
        <v>964396.49651999993</v>
      </c>
      <c r="L282" s="4">
        <v>999644.42895999609</v>
      </c>
      <c r="M282" s="4">
        <v>956993.538979996</v>
      </c>
      <c r="N282" s="4">
        <v>1145057.1341400021</v>
      </c>
      <c r="O282" s="4">
        <v>1230486.355939996</v>
      </c>
      <c r="P282" s="4">
        <v>1618351.8006599999</v>
      </c>
      <c r="Q282" s="4">
        <v>1767211.1848185128</v>
      </c>
      <c r="R282" s="4">
        <v>4</v>
      </c>
      <c r="S282" s="4">
        <v>0</v>
      </c>
      <c r="T282">
        <f t="shared" si="12"/>
        <v>3965.9121078939643</v>
      </c>
      <c r="U282">
        <f t="shared" si="13"/>
        <v>-3961.9121078939643</v>
      </c>
      <c r="V282">
        <v>1605968.1039999998</v>
      </c>
      <c r="W282">
        <v>0</v>
      </c>
      <c r="X282">
        <v>2067276.1336169776</v>
      </c>
      <c r="Y282">
        <v>1</v>
      </c>
      <c r="Z282">
        <f t="shared" si="14"/>
        <v>2.8690185582068485E-3</v>
      </c>
    </row>
    <row r="283" spans="1:26" x14ac:dyDescent="0.3">
      <c r="A283">
        <v>20230206</v>
      </c>
      <c r="B283" s="5">
        <v>44963</v>
      </c>
      <c r="C283">
        <v>749995.79435664578</v>
      </c>
      <c r="D283" s="4">
        <v>933983.26320000598</v>
      </c>
      <c r="E283" s="5">
        <v>44963</v>
      </c>
      <c r="F283" s="4">
        <v>20230206</v>
      </c>
      <c r="G283" s="5"/>
      <c r="H283" s="4">
        <v>1390719.8204399999</v>
      </c>
      <c r="I283" s="4">
        <v>1021107.1213799979</v>
      </c>
      <c r="J283" s="4">
        <v>614180.83747999801</v>
      </c>
      <c r="K283" s="4">
        <v>968059.86984000006</v>
      </c>
      <c r="L283" s="4">
        <v>992255.28247999609</v>
      </c>
      <c r="M283" s="4">
        <v>949937.42543999606</v>
      </c>
      <c r="N283" s="4">
        <v>1135611.9588800021</v>
      </c>
      <c r="O283" s="4">
        <v>1224044.5521399961</v>
      </c>
      <c r="P283" s="4">
        <v>1591974.459</v>
      </c>
      <c r="Q283" s="4">
        <v>1756460.8158023264</v>
      </c>
      <c r="R283" s="4">
        <v>4</v>
      </c>
      <c r="S283" s="4">
        <v>0</v>
      </c>
      <c r="T283">
        <f t="shared" si="12"/>
        <v>-10750.369016186334</v>
      </c>
      <c r="U283">
        <f t="shared" si="13"/>
        <v>10754.369016186334</v>
      </c>
      <c r="V283">
        <v>1594364.9864000001</v>
      </c>
      <c r="W283">
        <v>2</v>
      </c>
      <c r="X283">
        <v>2039553.2188787614</v>
      </c>
      <c r="Y283">
        <v>1</v>
      </c>
      <c r="Z283">
        <f t="shared" si="14"/>
        <v>-1.3410358823091155E-2</v>
      </c>
    </row>
    <row r="284" spans="1:26" x14ac:dyDescent="0.3">
      <c r="A284">
        <v>20230207</v>
      </c>
      <c r="B284" s="5">
        <v>44964</v>
      </c>
      <c r="C284">
        <v>746410.81445962109</v>
      </c>
      <c r="D284" s="4">
        <v>927205.07320000604</v>
      </c>
      <c r="E284" s="5">
        <v>44964</v>
      </c>
      <c r="F284" s="4">
        <v>20230207</v>
      </c>
      <c r="G284" s="5"/>
      <c r="H284" s="4">
        <v>1426080.5680399979</v>
      </c>
      <c r="I284" s="4">
        <v>1047056.671819998</v>
      </c>
      <c r="J284" s="4">
        <v>628767.06583999796</v>
      </c>
      <c r="K284" s="4">
        <v>991060.42434000003</v>
      </c>
      <c r="L284" s="4">
        <v>1016945.884599996</v>
      </c>
      <c r="M284" s="4">
        <v>973556.24659999611</v>
      </c>
      <c r="N284" s="4">
        <v>1176375.138900002</v>
      </c>
      <c r="O284" s="4">
        <v>1259206.245679996</v>
      </c>
      <c r="P284" s="4">
        <v>1637706.0532</v>
      </c>
      <c r="Q284" s="4">
        <v>1730316.5446944358</v>
      </c>
      <c r="R284" s="4">
        <v>3</v>
      </c>
      <c r="S284" s="4">
        <v>0</v>
      </c>
      <c r="T284">
        <f t="shared" si="12"/>
        <v>-26144.271107890643</v>
      </c>
      <c r="U284">
        <f t="shared" si="13"/>
        <v>26147.271107890643</v>
      </c>
      <c r="V284">
        <v>1581496.1813999999</v>
      </c>
      <c r="W284">
        <v>2</v>
      </c>
      <c r="X284">
        <v>2009195.2201251399</v>
      </c>
      <c r="Y284">
        <v>3</v>
      </c>
      <c r="Z284">
        <f t="shared" si="14"/>
        <v>-1.4884631826528508E-2</v>
      </c>
    </row>
    <row r="285" spans="1:26" x14ac:dyDescent="0.3">
      <c r="A285">
        <v>20230208</v>
      </c>
      <c r="B285" s="5">
        <v>44965</v>
      </c>
      <c r="C285">
        <v>759358.80285805208</v>
      </c>
      <c r="D285" s="4">
        <v>950173.34980000602</v>
      </c>
      <c r="E285" s="5">
        <v>44965</v>
      </c>
      <c r="F285" s="4">
        <v>20230208</v>
      </c>
      <c r="G285" s="5"/>
      <c r="H285" s="4">
        <v>1399786.0084599999</v>
      </c>
      <c r="I285" s="4">
        <v>1027757.264699998</v>
      </c>
      <c r="J285" s="4">
        <v>617181.59171999793</v>
      </c>
      <c r="K285" s="4">
        <v>972799.66700000002</v>
      </c>
      <c r="L285" s="4">
        <v>998210.185659996</v>
      </c>
      <c r="M285" s="4">
        <v>955626.02407999593</v>
      </c>
      <c r="N285" s="4">
        <v>1158056.363060002</v>
      </c>
      <c r="O285" s="4">
        <v>1235990.745039996</v>
      </c>
      <c r="P285" s="4">
        <v>1607505.5550200001</v>
      </c>
      <c r="Q285" s="4">
        <v>1764547.7627837802</v>
      </c>
      <c r="R285" s="4">
        <v>3</v>
      </c>
      <c r="S285" s="4">
        <v>0</v>
      </c>
      <c r="T285">
        <f t="shared" si="12"/>
        <v>34231.218089344446</v>
      </c>
      <c r="U285">
        <f t="shared" si="13"/>
        <v>-34228.218089344446</v>
      </c>
      <c r="V285">
        <v>1610450.0937999999</v>
      </c>
      <c r="W285">
        <v>2</v>
      </c>
      <c r="X285">
        <v>2068273.2810842432</v>
      </c>
      <c r="Y285">
        <v>1</v>
      </c>
      <c r="Z285">
        <f t="shared" si="14"/>
        <v>2.9403843074752928E-2</v>
      </c>
    </row>
    <row r="286" spans="1:26" x14ac:dyDescent="0.3">
      <c r="A286">
        <v>20230209</v>
      </c>
      <c r="B286" s="5">
        <v>44966</v>
      </c>
      <c r="C286">
        <v>752084.14552667201</v>
      </c>
      <c r="D286" s="4">
        <v>932796.424100006</v>
      </c>
      <c r="E286" s="5">
        <v>44966</v>
      </c>
      <c r="F286" s="4">
        <v>20230209</v>
      </c>
      <c r="G286" s="5"/>
      <c r="H286" s="4">
        <v>1445649.1804599999</v>
      </c>
      <c r="I286" s="4">
        <v>1053322.5554999979</v>
      </c>
      <c r="J286" s="4">
        <v>631667.84801999794</v>
      </c>
      <c r="K286" s="4">
        <v>982403.68093999999</v>
      </c>
      <c r="L286" s="4">
        <v>1019004.989399996</v>
      </c>
      <c r="M286" s="4">
        <v>975693.68835999595</v>
      </c>
      <c r="N286" s="4">
        <v>1169803.7537000019</v>
      </c>
      <c r="O286" s="4">
        <v>1255770.543659996</v>
      </c>
      <c r="P286" s="4">
        <v>1633238.6595000001</v>
      </c>
      <c r="Q286" s="4">
        <v>1731980.6308678237</v>
      </c>
      <c r="R286" s="4">
        <v>3</v>
      </c>
      <c r="S286" s="4">
        <v>0</v>
      </c>
      <c r="T286">
        <f t="shared" si="12"/>
        <v>-32567.131915956503</v>
      </c>
      <c r="U286">
        <f t="shared" si="13"/>
        <v>32570.131915956503</v>
      </c>
      <c r="V286">
        <v>1580727.054</v>
      </c>
      <c r="W286">
        <v>3</v>
      </c>
      <c r="X286">
        <v>2030015.8766766035</v>
      </c>
      <c r="Y286">
        <v>1</v>
      </c>
      <c r="Z286">
        <f t="shared" si="14"/>
        <v>-1.8497267627798304E-2</v>
      </c>
    </row>
    <row r="287" spans="1:26" x14ac:dyDescent="0.3">
      <c r="A287">
        <v>20230210</v>
      </c>
      <c r="B287" s="5">
        <v>44967</v>
      </c>
      <c r="C287">
        <v>760353.31070673768</v>
      </c>
      <c r="D287" s="4">
        <v>951078.48500000499</v>
      </c>
      <c r="E287" s="5">
        <v>44967</v>
      </c>
      <c r="F287" s="4">
        <v>20230210</v>
      </c>
      <c r="G287" s="5"/>
      <c r="H287" s="4">
        <v>1445620.35246</v>
      </c>
      <c r="I287" s="4">
        <v>1061412.919499998</v>
      </c>
      <c r="J287" s="4">
        <v>640878.44099999801</v>
      </c>
      <c r="K287" s="4">
        <v>981766.80232000002</v>
      </c>
      <c r="L287" s="4">
        <v>1009331.4998799959</v>
      </c>
      <c r="M287" s="4">
        <v>971606.74983999599</v>
      </c>
      <c r="N287" s="4">
        <v>1158704.5091200019</v>
      </c>
      <c r="O287" s="4">
        <v>1215548.734679996</v>
      </c>
      <c r="P287" s="4">
        <v>1641197.9376000001</v>
      </c>
      <c r="Q287" s="4">
        <v>1776318.1335993728</v>
      </c>
      <c r="R287" s="4">
        <v>3</v>
      </c>
      <c r="S287" s="4">
        <v>0</v>
      </c>
      <c r="T287">
        <f t="shared" si="12"/>
        <v>44337.502731549088</v>
      </c>
      <c r="U287">
        <f t="shared" si="13"/>
        <v>-44334.502731549088</v>
      </c>
      <c r="V287">
        <v>1606048.8089999999</v>
      </c>
      <c r="W287">
        <v>4</v>
      </c>
      <c r="X287">
        <v>2142879.7582961894</v>
      </c>
      <c r="Y287">
        <v>1</v>
      </c>
      <c r="Z287">
        <f t="shared" si="14"/>
        <v>5.559753641156668E-2</v>
      </c>
    </row>
    <row r="288" spans="1:26" x14ac:dyDescent="0.3">
      <c r="A288">
        <v>20230213</v>
      </c>
      <c r="B288" s="5">
        <v>44970</v>
      </c>
      <c r="C288">
        <v>757969.60307767219</v>
      </c>
      <c r="D288" s="4">
        <v>942544.00770000601</v>
      </c>
      <c r="E288" s="5">
        <v>44970</v>
      </c>
      <c r="F288" s="4">
        <v>20230213</v>
      </c>
      <c r="G288" s="5"/>
      <c r="H288" s="4">
        <v>1449822.9093800001</v>
      </c>
      <c r="I288" s="4">
        <v>1064459.1486999979</v>
      </c>
      <c r="J288" s="4">
        <v>642792.35605999804</v>
      </c>
      <c r="K288" s="4">
        <v>984549.85123999999</v>
      </c>
      <c r="L288" s="4">
        <v>1012202.275559996</v>
      </c>
      <c r="M288" s="4">
        <v>974501.53909999598</v>
      </c>
      <c r="N288" s="4">
        <v>1161981.9651000039</v>
      </c>
      <c r="O288" s="4">
        <v>1219041.537599996</v>
      </c>
      <c r="P288" s="4">
        <v>1645902.8414999999</v>
      </c>
      <c r="Q288" s="4">
        <v>1784988.2187556047</v>
      </c>
      <c r="R288" s="4">
        <v>4</v>
      </c>
      <c r="S288" s="4">
        <v>0</v>
      </c>
      <c r="T288">
        <f t="shared" si="12"/>
        <v>8670.0851562318858</v>
      </c>
      <c r="U288">
        <f t="shared" si="13"/>
        <v>-8666.0851562318858</v>
      </c>
      <c r="V288">
        <v>1692875.0449999999</v>
      </c>
      <c r="W288">
        <v>1</v>
      </c>
      <c r="X288">
        <v>2258728.5798944817</v>
      </c>
      <c r="Y288">
        <v>1</v>
      </c>
      <c r="Z288">
        <f t="shared" si="14"/>
        <v>5.4062212846886053E-2</v>
      </c>
    </row>
    <row r="289" spans="1:26" x14ac:dyDescent="0.3">
      <c r="A289">
        <v>20230214</v>
      </c>
      <c r="B289" s="5">
        <v>44971</v>
      </c>
      <c r="C289">
        <v>752650.93037287612</v>
      </c>
      <c r="D289" s="4">
        <v>945614.44430000603</v>
      </c>
      <c r="E289" s="5">
        <v>44971</v>
      </c>
      <c r="F289" s="4">
        <v>20230214</v>
      </c>
      <c r="G289" s="5"/>
      <c r="H289" s="4">
        <v>1407960.5139200001</v>
      </c>
      <c r="I289" s="4">
        <v>1024883.4569399981</v>
      </c>
      <c r="J289" s="4">
        <v>627264.33795999805</v>
      </c>
      <c r="K289" s="4">
        <v>954706.47447999998</v>
      </c>
      <c r="L289" s="4">
        <v>982409.64921999595</v>
      </c>
      <c r="M289" s="4">
        <v>945806.02783999592</v>
      </c>
      <c r="N289" s="4">
        <v>1127363.3378800019</v>
      </c>
      <c r="O289" s="4">
        <v>1184124.595419996</v>
      </c>
      <c r="P289" s="4">
        <v>1598338.1095400001</v>
      </c>
      <c r="Q289" s="4">
        <v>1790031.607750552</v>
      </c>
      <c r="R289" s="4">
        <v>2</v>
      </c>
      <c r="S289" s="4">
        <v>0</v>
      </c>
      <c r="T289">
        <f t="shared" si="12"/>
        <v>5043.3889949473087</v>
      </c>
      <c r="U289">
        <f t="shared" si="13"/>
        <v>-5041.3889949473087</v>
      </c>
      <c r="V289">
        <v>1697660.1322000001</v>
      </c>
      <c r="W289">
        <v>2</v>
      </c>
      <c r="X289">
        <v>2217111.27155041</v>
      </c>
      <c r="Y289">
        <v>1</v>
      </c>
      <c r="Z289">
        <f t="shared" si="14"/>
        <v>-1.8425103712999425E-2</v>
      </c>
    </row>
    <row r="290" spans="1:26" x14ac:dyDescent="0.3">
      <c r="A290">
        <v>20230215</v>
      </c>
      <c r="B290" s="5">
        <v>44972</v>
      </c>
      <c r="C290">
        <v>742386.27698445076</v>
      </c>
      <c r="D290" s="4">
        <v>918479.27130000596</v>
      </c>
      <c r="E290" s="5">
        <v>44972</v>
      </c>
      <c r="F290" s="4">
        <v>20230215</v>
      </c>
      <c r="G290" s="5"/>
      <c r="H290" s="4">
        <v>1361117.4093200001</v>
      </c>
      <c r="I290" s="4">
        <v>985167.62157999794</v>
      </c>
      <c r="J290" s="4">
        <v>606442.82597999799</v>
      </c>
      <c r="K290" s="4">
        <v>916549.40286000003</v>
      </c>
      <c r="L290" s="4">
        <v>955470.42829999607</v>
      </c>
      <c r="M290" s="4">
        <v>919894.61539999605</v>
      </c>
      <c r="N290" s="4">
        <v>1096309.8130200019</v>
      </c>
      <c r="O290" s="4">
        <v>1136680.6810199958</v>
      </c>
      <c r="P290" s="4">
        <v>1539373.44866</v>
      </c>
      <c r="Q290" s="4">
        <v>1790031.607750552</v>
      </c>
      <c r="R290" s="4">
        <v>0</v>
      </c>
      <c r="S290" s="4">
        <v>0</v>
      </c>
      <c r="T290">
        <f t="shared" si="12"/>
        <v>0</v>
      </c>
      <c r="U290">
        <f t="shared" si="13"/>
        <v>0</v>
      </c>
      <c r="V290">
        <v>1697660.1322000001</v>
      </c>
      <c r="W290">
        <v>0</v>
      </c>
      <c r="X290">
        <v>2154671.603350942</v>
      </c>
      <c r="Y290">
        <v>1</v>
      </c>
      <c r="Z290">
        <f t="shared" si="14"/>
        <v>-2.8162622688668364E-2</v>
      </c>
    </row>
    <row r="291" spans="1:26" x14ac:dyDescent="0.3">
      <c r="A291">
        <v>20230216</v>
      </c>
      <c r="B291" s="5">
        <v>44973</v>
      </c>
      <c r="C291">
        <v>723715.26211829192</v>
      </c>
      <c r="D291" s="4">
        <v>893866.16870000598</v>
      </c>
      <c r="E291" s="5">
        <v>44973</v>
      </c>
      <c r="F291" s="4">
        <v>20230216</v>
      </c>
      <c r="G291" s="5"/>
      <c r="H291" s="4">
        <v>1341281.8786200001</v>
      </c>
      <c r="I291" s="4">
        <v>970834.49957999797</v>
      </c>
      <c r="J291" s="4">
        <v>597696.147899998</v>
      </c>
      <c r="K291" s="4">
        <v>908049.56412</v>
      </c>
      <c r="L291" s="4">
        <v>946164.49759999604</v>
      </c>
      <c r="M291" s="4">
        <v>906742.39239999594</v>
      </c>
      <c r="N291" s="4">
        <v>1073839.796040002</v>
      </c>
      <c r="O291" s="4">
        <v>1126169.660979996</v>
      </c>
      <c r="P291" s="4">
        <v>1517353.9688599999</v>
      </c>
      <c r="Q291" s="4">
        <v>1790031.607750552</v>
      </c>
      <c r="R291" s="4">
        <v>0</v>
      </c>
      <c r="S291" s="4">
        <v>0</v>
      </c>
      <c r="T291">
        <f t="shared" si="12"/>
        <v>0</v>
      </c>
      <c r="U291">
        <f t="shared" si="13"/>
        <v>0</v>
      </c>
      <c r="V291">
        <v>1634777.7356</v>
      </c>
      <c r="W291">
        <v>4</v>
      </c>
      <c r="X291">
        <v>2154671.603350942</v>
      </c>
      <c r="Y291">
        <v>0</v>
      </c>
      <c r="Z291">
        <f t="shared" si="14"/>
        <v>0</v>
      </c>
    </row>
    <row r="292" spans="1:26" x14ac:dyDescent="0.3">
      <c r="A292">
        <v>20230217</v>
      </c>
      <c r="B292" s="5">
        <v>44974</v>
      </c>
      <c r="C292">
        <v>732994.01549391064</v>
      </c>
      <c r="D292" s="4">
        <v>885289.90410000598</v>
      </c>
      <c r="E292" s="5">
        <v>44974</v>
      </c>
      <c r="F292" s="4">
        <v>20230217</v>
      </c>
      <c r="G292" s="5"/>
      <c r="H292" s="4">
        <v>1386795.1887000001</v>
      </c>
      <c r="I292" s="4">
        <v>987344.53399999789</v>
      </c>
      <c r="J292" s="4">
        <v>606560.724219998</v>
      </c>
      <c r="K292" s="4">
        <v>912406.12212000007</v>
      </c>
      <c r="L292" s="4">
        <v>962604.083179996</v>
      </c>
      <c r="M292" s="4">
        <v>922496.20075999596</v>
      </c>
      <c r="N292" s="4">
        <v>1092500.9792800019</v>
      </c>
      <c r="O292" s="4">
        <v>1153065.983879996</v>
      </c>
      <c r="P292" s="4">
        <v>1538235.9219</v>
      </c>
      <c r="Q292" s="4">
        <v>1750332.8308212918</v>
      </c>
      <c r="R292" s="4">
        <v>3</v>
      </c>
      <c r="S292" s="4">
        <v>0</v>
      </c>
      <c r="T292">
        <f t="shared" si="12"/>
        <v>-39698.776929260232</v>
      </c>
      <c r="U292">
        <f t="shared" si="13"/>
        <v>39701.776929260232</v>
      </c>
      <c r="V292">
        <v>1611381.4597999998</v>
      </c>
      <c r="W292">
        <v>4</v>
      </c>
      <c r="X292">
        <v>2154671.603350942</v>
      </c>
      <c r="Y292">
        <v>0</v>
      </c>
      <c r="Z292">
        <f t="shared" si="14"/>
        <v>0</v>
      </c>
    </row>
    <row r="293" spans="1:26" x14ac:dyDescent="0.3">
      <c r="A293">
        <v>20230220</v>
      </c>
      <c r="B293" s="5">
        <v>44977</v>
      </c>
      <c r="C293">
        <v>729735.85709504015</v>
      </c>
      <c r="D293" s="4">
        <v>900618.10840000596</v>
      </c>
      <c r="E293" s="5">
        <v>44977</v>
      </c>
      <c r="F293" s="4">
        <v>20230220</v>
      </c>
      <c r="G293" s="5"/>
      <c r="H293" s="4">
        <v>1374129.9168799999</v>
      </c>
      <c r="I293" s="4">
        <v>978036.47107999807</v>
      </c>
      <c r="J293" s="4">
        <v>600845.35969999793</v>
      </c>
      <c r="K293" s="4">
        <v>904078.11204000004</v>
      </c>
      <c r="L293" s="4">
        <v>955942.67017999606</v>
      </c>
      <c r="M293" s="4">
        <v>916113.24953999592</v>
      </c>
      <c r="N293" s="4">
        <v>1083972.074480002</v>
      </c>
      <c r="O293" s="4">
        <v>1154064.119219996</v>
      </c>
      <c r="P293" s="4">
        <v>1523732.8607000001</v>
      </c>
      <c r="Q293" s="4">
        <v>1755570.3645860124</v>
      </c>
      <c r="R293" s="4">
        <v>3</v>
      </c>
      <c r="S293" s="4">
        <v>0</v>
      </c>
      <c r="T293">
        <f t="shared" si="12"/>
        <v>5237.5337647206616</v>
      </c>
      <c r="U293">
        <f t="shared" si="13"/>
        <v>-5234.5337647206616</v>
      </c>
      <c r="V293">
        <v>1657544.4597999998</v>
      </c>
      <c r="W293">
        <v>1</v>
      </c>
      <c r="X293">
        <v>2154671.603350942</v>
      </c>
      <c r="Y293">
        <v>0</v>
      </c>
      <c r="Z293">
        <f t="shared" si="14"/>
        <v>0</v>
      </c>
    </row>
    <row r="294" spans="1:26" x14ac:dyDescent="0.3">
      <c r="A294">
        <v>20230221</v>
      </c>
      <c r="B294" s="5">
        <v>44978</v>
      </c>
      <c r="C294">
        <v>724432.8666215305</v>
      </c>
      <c r="D294" s="4">
        <v>894431.99260000605</v>
      </c>
      <c r="E294" s="5">
        <v>44978</v>
      </c>
      <c r="F294" s="4">
        <v>20230221</v>
      </c>
      <c r="G294" s="5"/>
      <c r="H294" s="4">
        <v>1386302.1211999999</v>
      </c>
      <c r="I294" s="4">
        <v>980340.50833999796</v>
      </c>
      <c r="J294" s="4">
        <v>606166.54873999802</v>
      </c>
      <c r="K294" s="4">
        <v>912084.55651999987</v>
      </c>
      <c r="L294" s="4">
        <v>960372.39791999606</v>
      </c>
      <c r="M294" s="4">
        <v>920343.21399999596</v>
      </c>
      <c r="N294" s="4">
        <v>1088981.2220800021</v>
      </c>
      <c r="O294" s="4">
        <v>1156764.6431399961</v>
      </c>
      <c r="P294" s="4">
        <v>1537230.21046</v>
      </c>
      <c r="Q294" s="4">
        <v>1739000.2239088698</v>
      </c>
      <c r="R294" s="4">
        <v>4</v>
      </c>
      <c r="S294" s="4">
        <v>0</v>
      </c>
      <c r="T294">
        <f t="shared" si="12"/>
        <v>-16570.140677142655</v>
      </c>
      <c r="U294">
        <f t="shared" si="13"/>
        <v>16574.140677142655</v>
      </c>
      <c r="V294">
        <v>1660666.0359999998</v>
      </c>
      <c r="W294">
        <v>1</v>
      </c>
      <c r="X294">
        <v>2154671.603350942</v>
      </c>
      <c r="Y294">
        <v>0</v>
      </c>
      <c r="Z294">
        <f t="shared" si="14"/>
        <v>0</v>
      </c>
    </row>
    <row r="295" spans="1:26" x14ac:dyDescent="0.3">
      <c r="A295">
        <v>20230222</v>
      </c>
      <c r="B295" s="5">
        <v>44979</v>
      </c>
      <c r="C295">
        <v>726071.53376582847</v>
      </c>
      <c r="D295" s="4">
        <v>898554.92810000596</v>
      </c>
      <c r="E295" s="5">
        <v>44979</v>
      </c>
      <c r="F295" s="4">
        <v>20230222</v>
      </c>
      <c r="G295" s="5"/>
      <c r="H295" s="4">
        <v>1409362.917179998</v>
      </c>
      <c r="I295" s="4">
        <v>996682.35345999803</v>
      </c>
      <c r="J295" s="4">
        <v>616188.089099998</v>
      </c>
      <c r="K295" s="4">
        <v>927275.27643999993</v>
      </c>
      <c r="L295" s="4">
        <v>976348.18415999599</v>
      </c>
      <c r="M295" s="4">
        <v>935669.01195999607</v>
      </c>
      <c r="N295" s="4">
        <v>1107100.992560002</v>
      </c>
      <c r="O295" s="4">
        <v>1176017.270119996</v>
      </c>
      <c r="P295" s="4">
        <v>1562828.5481400001</v>
      </c>
      <c r="Q295" s="4">
        <v>1743868.6511334779</v>
      </c>
      <c r="R295" s="4">
        <v>1</v>
      </c>
      <c r="S295" s="4">
        <v>0</v>
      </c>
      <c r="T295">
        <f t="shared" si="12"/>
        <v>4868.4272246081382</v>
      </c>
      <c r="U295">
        <f t="shared" si="13"/>
        <v>-4867.4272246081382</v>
      </c>
      <c r="V295">
        <v>1675404.7722</v>
      </c>
      <c r="W295">
        <v>4</v>
      </c>
      <c r="X295">
        <v>2154671.603350942</v>
      </c>
      <c r="Y295">
        <v>0</v>
      </c>
      <c r="Z295">
        <f t="shared" si="14"/>
        <v>0</v>
      </c>
    </row>
    <row r="296" spans="1:26" x14ac:dyDescent="0.3">
      <c r="A296">
        <v>20230223</v>
      </c>
      <c r="B296" s="5">
        <v>44980</v>
      </c>
      <c r="C296">
        <v>717625.8696850643</v>
      </c>
      <c r="D296" s="4">
        <v>913229.767300006</v>
      </c>
      <c r="E296" s="5">
        <v>44980</v>
      </c>
      <c r="F296" s="4">
        <v>20230223</v>
      </c>
      <c r="G296" s="5"/>
      <c r="H296" s="4">
        <v>1405298.470599998</v>
      </c>
      <c r="I296" s="4">
        <v>981453.82399999793</v>
      </c>
      <c r="J296" s="4">
        <v>606809.48371999804</v>
      </c>
      <c r="K296" s="4">
        <v>924619.78107999987</v>
      </c>
      <c r="L296" s="4">
        <v>971920.24635999592</v>
      </c>
      <c r="M296" s="4">
        <v>939804.92719999608</v>
      </c>
      <c r="N296" s="4">
        <v>1111996.1468400019</v>
      </c>
      <c r="O296" s="4">
        <v>1181214.222899996</v>
      </c>
      <c r="P296" s="4">
        <v>1569768.0863999999</v>
      </c>
      <c r="Q296" s="4">
        <v>1772950.2906287881</v>
      </c>
      <c r="R296" s="4">
        <v>4</v>
      </c>
      <c r="S296" s="4">
        <v>0</v>
      </c>
      <c r="T296">
        <f t="shared" si="12"/>
        <v>29081.639495310141</v>
      </c>
      <c r="U296">
        <f t="shared" si="13"/>
        <v>-29077.639495310141</v>
      </c>
      <c r="V296">
        <v>1703345.1482000002</v>
      </c>
      <c r="W296">
        <v>4</v>
      </c>
      <c r="X296">
        <v>2154671.603350942</v>
      </c>
      <c r="Y296">
        <v>0</v>
      </c>
      <c r="Z296">
        <f t="shared" si="14"/>
        <v>0</v>
      </c>
    </row>
    <row r="297" spans="1:26" x14ac:dyDescent="0.3">
      <c r="A297">
        <v>20230224</v>
      </c>
      <c r="B297" s="5">
        <v>44981</v>
      </c>
      <c r="C297">
        <v>711958.77819216147</v>
      </c>
      <c r="D297" s="4">
        <v>909322.06710000604</v>
      </c>
      <c r="E297" s="5">
        <v>44981</v>
      </c>
      <c r="F297" s="4">
        <v>20230224</v>
      </c>
      <c r="G297" s="5"/>
      <c r="H297" s="4">
        <v>1410500.2599599981</v>
      </c>
      <c r="I297" s="4">
        <v>988987.59669999802</v>
      </c>
      <c r="J297" s="4">
        <v>605976.25031999801</v>
      </c>
      <c r="K297" s="4">
        <v>923783.71552000009</v>
      </c>
      <c r="L297" s="4">
        <v>978291.12519999593</v>
      </c>
      <c r="M297" s="4">
        <v>945967.38591999596</v>
      </c>
      <c r="N297" s="4">
        <v>1119300.6164400021</v>
      </c>
      <c r="O297" s="4">
        <v>1182160.459879996</v>
      </c>
      <c r="P297" s="4">
        <v>1595296.65506</v>
      </c>
      <c r="Q297" s="4">
        <v>1804618.0641908005</v>
      </c>
      <c r="R297" s="4">
        <v>2</v>
      </c>
      <c r="S297" s="4">
        <v>0</v>
      </c>
      <c r="T297">
        <f t="shared" si="12"/>
        <v>31667.773562012473</v>
      </c>
      <c r="U297">
        <f t="shared" si="13"/>
        <v>-31665.773562012473</v>
      </c>
      <c r="V297">
        <v>1710893.7241999998</v>
      </c>
      <c r="W297">
        <v>4</v>
      </c>
      <c r="X297">
        <v>2154671.603350942</v>
      </c>
      <c r="Y297">
        <v>0</v>
      </c>
      <c r="Z297">
        <f t="shared" si="14"/>
        <v>0</v>
      </c>
    </row>
    <row r="298" spans="1:26" x14ac:dyDescent="0.3">
      <c r="A298">
        <v>20230227</v>
      </c>
      <c r="B298" s="5">
        <v>44984</v>
      </c>
      <c r="C298">
        <v>717629.52986046206</v>
      </c>
      <c r="D298" s="4">
        <v>915255.91180000606</v>
      </c>
      <c r="E298" s="5">
        <v>44984</v>
      </c>
      <c r="F298" s="4">
        <v>20230227</v>
      </c>
      <c r="G298" s="5"/>
      <c r="H298" s="4">
        <v>1397297.290959998</v>
      </c>
      <c r="I298" s="4">
        <v>1011576.402719998</v>
      </c>
      <c r="J298" s="4">
        <v>621313.32661999797</v>
      </c>
      <c r="K298" s="4">
        <v>920206.34096000006</v>
      </c>
      <c r="L298" s="4">
        <v>991259.42991999595</v>
      </c>
      <c r="M298" s="4">
        <v>955952.09869999602</v>
      </c>
      <c r="N298" s="4">
        <v>1133614.7079600019</v>
      </c>
      <c r="O298" s="4">
        <v>1195456.8163399962</v>
      </c>
      <c r="P298" s="4">
        <v>1633338.9406600001</v>
      </c>
      <c r="Q298" s="4">
        <v>1804618.0641908005</v>
      </c>
      <c r="R298" s="4">
        <v>0</v>
      </c>
      <c r="S298" s="4">
        <v>0</v>
      </c>
      <c r="T298">
        <f t="shared" si="12"/>
        <v>0</v>
      </c>
      <c r="U298">
        <f t="shared" si="13"/>
        <v>0</v>
      </c>
      <c r="V298">
        <v>1710893.7241999998</v>
      </c>
      <c r="W298">
        <v>0</v>
      </c>
      <c r="X298">
        <v>2154671.603350942</v>
      </c>
      <c r="Y298">
        <v>0</v>
      </c>
      <c r="Z298">
        <f t="shared" si="14"/>
        <v>0</v>
      </c>
    </row>
    <row r="299" spans="1:26" x14ac:dyDescent="0.3">
      <c r="A299">
        <v>20230228</v>
      </c>
      <c r="B299" s="5">
        <v>44985</v>
      </c>
      <c r="C299">
        <v>722025.72836038726</v>
      </c>
      <c r="D299" s="4">
        <v>926785.60490000597</v>
      </c>
      <c r="E299" s="5">
        <v>44985</v>
      </c>
      <c r="F299" s="4">
        <v>20230228</v>
      </c>
      <c r="G299" s="5"/>
      <c r="H299" s="4">
        <v>1377584.1712999982</v>
      </c>
      <c r="I299" s="4">
        <v>1063232.5075199981</v>
      </c>
      <c r="J299" s="4">
        <v>628722.16203999799</v>
      </c>
      <c r="K299" s="4">
        <v>954551.77301999996</v>
      </c>
      <c r="L299" s="4">
        <v>986919.09191999608</v>
      </c>
      <c r="M299" s="4">
        <v>963381.99153999588</v>
      </c>
      <c r="N299" s="4">
        <v>1155960.1779600021</v>
      </c>
      <c r="O299" s="4">
        <v>1256468.829739996</v>
      </c>
      <c r="P299" s="4">
        <v>1647301.20924</v>
      </c>
      <c r="Q299" s="4">
        <v>1847711.1207961012</v>
      </c>
      <c r="R299" s="4">
        <v>4</v>
      </c>
      <c r="S299" s="4">
        <v>0</v>
      </c>
      <c r="T299">
        <f t="shared" si="12"/>
        <v>43093.056605300633</v>
      </c>
      <c r="U299">
        <f t="shared" si="13"/>
        <v>-43089.056605300633</v>
      </c>
      <c r="V299">
        <v>1803465.6850000001</v>
      </c>
      <c r="W299">
        <v>1</v>
      </c>
      <c r="X299">
        <v>2223782.8786059762</v>
      </c>
      <c r="Y299">
        <v>3</v>
      </c>
      <c r="Z299">
        <f t="shared" si="14"/>
        <v>3.207508519978286E-2</v>
      </c>
    </row>
    <row r="300" spans="1:26" x14ac:dyDescent="0.3">
      <c r="A300">
        <v>20230301</v>
      </c>
      <c r="B300" s="5">
        <v>44986</v>
      </c>
      <c r="C300">
        <v>714525.32509417948</v>
      </c>
      <c r="D300" s="4">
        <v>955700.04390000599</v>
      </c>
      <c r="E300" s="5">
        <v>44986</v>
      </c>
      <c r="F300" s="4">
        <v>20230301</v>
      </c>
      <c r="G300" s="5"/>
      <c r="H300" s="4">
        <v>1366191.2494399981</v>
      </c>
      <c r="I300" s="4">
        <v>1050549.699219998</v>
      </c>
      <c r="J300" s="4">
        <v>617813.46849999798</v>
      </c>
      <c r="K300" s="4">
        <v>938941.76202000002</v>
      </c>
      <c r="L300" s="4">
        <v>972946.30891999602</v>
      </c>
      <c r="M300" s="4">
        <v>952428.78105999599</v>
      </c>
      <c r="N300" s="4">
        <v>1134205.022220002</v>
      </c>
      <c r="O300" s="4">
        <v>1235457.2689399959</v>
      </c>
      <c r="P300" s="4">
        <v>1604297.86696</v>
      </c>
      <c r="Q300" s="4">
        <v>1863521.0631465535</v>
      </c>
      <c r="R300" s="4">
        <v>4</v>
      </c>
      <c r="S300" s="4">
        <v>0</v>
      </c>
      <c r="T300">
        <f t="shared" si="12"/>
        <v>15809.9423504523</v>
      </c>
      <c r="U300">
        <f t="shared" si="13"/>
        <v>-15805.9423504523</v>
      </c>
      <c r="V300">
        <v>1778879.9151999999</v>
      </c>
      <c r="W300">
        <v>1</v>
      </c>
      <c r="X300">
        <v>2271381.3714865171</v>
      </c>
      <c r="Y300">
        <v>3</v>
      </c>
      <c r="Z300">
        <f t="shared" si="14"/>
        <v>2.140428966265762E-2</v>
      </c>
    </row>
    <row r="301" spans="1:26" x14ac:dyDescent="0.3">
      <c r="A301">
        <v>20230302</v>
      </c>
      <c r="B301" s="5">
        <v>44987</v>
      </c>
      <c r="C301">
        <v>715647.84437990247</v>
      </c>
      <c r="D301" s="4">
        <v>941204.37860000599</v>
      </c>
      <c r="E301" s="5">
        <v>44987</v>
      </c>
      <c r="F301" s="4">
        <v>20230302</v>
      </c>
      <c r="G301" s="5"/>
      <c r="H301" s="4">
        <v>1372325.51242</v>
      </c>
      <c r="I301" s="4">
        <v>1067442.2189999982</v>
      </c>
      <c r="J301" s="4">
        <v>627753.73515999806</v>
      </c>
      <c r="K301" s="4">
        <v>941691.03998000012</v>
      </c>
      <c r="L301" s="4">
        <v>978542.01031999604</v>
      </c>
      <c r="M301" s="4">
        <v>970163.39987999597</v>
      </c>
      <c r="N301" s="4">
        <v>1153652.133300002</v>
      </c>
      <c r="O301" s="4">
        <v>1244635.5085399959</v>
      </c>
      <c r="P301" s="4">
        <v>1621406.81592</v>
      </c>
      <c r="Q301" s="4">
        <v>1814760.8469353328</v>
      </c>
      <c r="R301" s="4">
        <v>4</v>
      </c>
      <c r="S301" s="4">
        <v>0</v>
      </c>
      <c r="T301">
        <f t="shared" si="12"/>
        <v>-48760.216211220715</v>
      </c>
      <c r="U301">
        <f t="shared" si="13"/>
        <v>48764.216211220715</v>
      </c>
      <c r="V301">
        <v>1739348.084</v>
      </c>
      <c r="W301">
        <v>2</v>
      </c>
      <c r="X301">
        <v>2214933.5233167312</v>
      </c>
      <c r="Y301">
        <v>3</v>
      </c>
      <c r="Z301">
        <f t="shared" si="14"/>
        <v>-2.4851770327253914E-2</v>
      </c>
    </row>
    <row r="302" spans="1:26" x14ac:dyDescent="0.3">
      <c r="S302" s="4"/>
    </row>
  </sheetData>
  <autoFilter ref="A1:U1" xr:uid="{4F874D03-DB97-4853-8F5B-EE1AA98DE340}"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主板</vt:lpstr>
      <vt:lpstr>创业板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2025-03-29T05:35:09Z</dcterms:modified>
</cp:coreProperties>
</file>